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lukas\Desktop\"/>
    </mc:Choice>
  </mc:AlternateContent>
  <xr:revisionPtr revIDLastSave="0" documentId="8_{D4D3CC6F-43AF-42CD-9B8F-6995D2245E4A}" xr6:coauthVersionLast="47" xr6:coauthVersionMax="47" xr10:uidLastSave="{00000000-0000-0000-0000-000000000000}"/>
  <bookViews>
    <workbookView xWindow="28680" yWindow="-15" windowWidth="29040" windowHeight="15720" activeTab="1" xr2:uid="{6EB2EE68-E6E8-4FB9-A59F-46AB48985A68}"/>
  </bookViews>
  <sheets>
    <sheet name="Appendix_BC-Networks" sheetId="14" r:id="rId1"/>
    <sheet name="Table1 - Literature" sheetId="25" r:id="rId2"/>
    <sheet name="Table2 - Data sources" sheetId="26" r:id="rId3"/>
    <sheet name="Table4 - Overview of systems" sheetId="12" r:id="rId4"/>
    <sheet name="Table5 - Calculated values" sheetId="13" r:id="rId5"/>
    <sheet name="Table6 - Emissions" sheetId="15" r:id="rId6"/>
    <sheet name="Table7 - Bitcoin" sheetId="16" r:id="rId7"/>
    <sheet name="Table8 - Ethereum" sheetId="17" r:id="rId8"/>
    <sheet name="Table9 - Cardano" sheetId="18" r:id="rId9"/>
    <sheet name="Table10 - Solana" sheetId="19" r:id="rId10"/>
    <sheet name="Table11 - Ripple" sheetId="21" r:id="rId11"/>
    <sheet name="Table12" sheetId="22" r:id="rId12"/>
    <sheet name="Table13" sheetId="23" r:id="rId13"/>
    <sheet name="Table14" sheetId="24" r:id="rId14"/>
    <sheet name="CO2e  kWh per Country" sheetId="9" r:id="rId15"/>
  </sheets>
  <definedNames>
    <definedName name="_xlnm._FilterDatabase" localSheetId="1" hidden="1">'Table1 - Literature'!$A$1:$H$1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2" l="1"/>
  <c r="E8" i="12" s="1"/>
  <c r="E3" i="24"/>
  <c r="E7" i="22"/>
  <c r="E3" i="22"/>
  <c r="Q6" i="13"/>
  <c r="F5" i="13" s="1"/>
  <c r="E5" i="22" s="1"/>
  <c r="S6" i="13"/>
  <c r="F6" i="13" s="1"/>
  <c r="E6" i="22" s="1"/>
  <c r="M6" i="13"/>
  <c r="F4" i="13" s="1"/>
  <c r="E5" i="24" s="1"/>
  <c r="O6" i="13"/>
  <c r="F7" i="13" s="1"/>
  <c r="E11" i="24" s="1"/>
  <c r="K6" i="13"/>
  <c r="F3" i="13" s="1"/>
  <c r="F18" i="21"/>
  <c r="F17" i="21"/>
  <c r="F16" i="21"/>
  <c r="F15" i="21"/>
  <c r="F14" i="21"/>
  <c r="F13" i="21"/>
  <c r="F12" i="21"/>
  <c r="F11" i="21"/>
  <c r="F10" i="21"/>
  <c r="F9" i="21"/>
  <c r="F8" i="21"/>
  <c r="F7" i="21"/>
  <c r="F6" i="21"/>
  <c r="H20" i="21"/>
  <c r="I20" i="21" s="1"/>
  <c r="E20" i="21"/>
  <c r="E19" i="21" s="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4" i="21"/>
  <c r="F19" i="21"/>
  <c r="F5" i="21"/>
  <c r="F4" i="21"/>
  <c r="F19" i="19"/>
  <c r="F18" i="19"/>
  <c r="F17" i="19"/>
  <c r="F16" i="19"/>
  <c r="F15" i="19"/>
  <c r="F14" i="19"/>
  <c r="F13" i="19"/>
  <c r="F12" i="19"/>
  <c r="F11" i="19"/>
  <c r="F10" i="19"/>
  <c r="F9" i="19"/>
  <c r="F8" i="19"/>
  <c r="F7" i="19"/>
  <c r="F6" i="19"/>
  <c r="F5" i="19"/>
  <c r="F4" i="19"/>
  <c r="H20" i="19"/>
  <c r="E20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4" i="19"/>
  <c r="E19" i="19"/>
  <c r="H20" i="18"/>
  <c r="F18" i="18"/>
  <c r="F17" i="18"/>
  <c r="F16" i="18"/>
  <c r="F15" i="18"/>
  <c r="F14" i="18"/>
  <c r="F13" i="18"/>
  <c r="F12" i="18"/>
  <c r="F11" i="18"/>
  <c r="F10" i="18"/>
  <c r="F9" i="18"/>
  <c r="F8" i="18"/>
  <c r="F7" i="18"/>
  <c r="F6" i="18"/>
  <c r="F5" i="18"/>
  <c r="F4" i="18"/>
  <c r="E20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4" i="18"/>
  <c r="E19" i="18"/>
  <c r="F19" i="18"/>
  <c r="D19" i="18"/>
  <c r="H20" i="17"/>
  <c r="F19" i="17"/>
  <c r="F18" i="17"/>
  <c r="F17" i="17"/>
  <c r="F16" i="17"/>
  <c r="F15" i="17"/>
  <c r="F14" i="17"/>
  <c r="F13" i="17"/>
  <c r="F12" i="17"/>
  <c r="F11" i="17"/>
  <c r="F10" i="17"/>
  <c r="F9" i="17"/>
  <c r="F8" i="17"/>
  <c r="F7" i="17"/>
  <c r="F6" i="17"/>
  <c r="F5" i="17"/>
  <c r="F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4" i="17"/>
  <c r="E20" i="17"/>
  <c r="E19" i="17" s="1"/>
  <c r="C7" i="12"/>
  <c r="E7" i="12" s="1"/>
  <c r="C6" i="12"/>
  <c r="E6" i="12" s="1"/>
  <c r="C9" i="24" s="1"/>
  <c r="C4" i="12"/>
  <c r="E4" i="12" s="1"/>
  <c r="C3" i="12"/>
  <c r="D3" i="12"/>
  <c r="H20" i="16" s="1"/>
  <c r="I20" i="16" s="1"/>
  <c r="B8" i="12"/>
  <c r="B8" i="13" s="1"/>
  <c r="B13" i="24" s="1"/>
  <c r="B7" i="12"/>
  <c r="B7" i="13" s="1"/>
  <c r="B6" i="12"/>
  <c r="B5" i="12"/>
  <c r="B4" i="12"/>
  <c r="D4" i="13" s="1"/>
  <c r="E4" i="13" s="1"/>
  <c r="B3" i="12"/>
  <c r="C5" i="12"/>
  <c r="E5" i="12" s="1"/>
  <c r="W31" i="14"/>
  <c r="AC31" i="14"/>
  <c r="W30" i="14"/>
  <c r="AC30" i="14"/>
  <c r="K31" i="14"/>
  <c r="K30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5" i="14"/>
  <c r="Q5" i="14"/>
  <c r="E31" i="14"/>
  <c r="E30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5" i="14"/>
  <c r="D4" i="16"/>
  <c r="E20" i="16"/>
  <c r="F19" i="16"/>
  <c r="F18" i="16"/>
  <c r="F17" i="16"/>
  <c r="F16" i="16"/>
  <c r="F15" i="16"/>
  <c r="F14" i="16"/>
  <c r="F13" i="16"/>
  <c r="F12" i="16"/>
  <c r="F11" i="16"/>
  <c r="F10" i="16"/>
  <c r="F9" i="16"/>
  <c r="F8" i="16"/>
  <c r="F7" i="16"/>
  <c r="F6" i="16"/>
  <c r="F5" i="16"/>
  <c r="F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4" i="16"/>
  <c r="D18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AC6" i="14"/>
  <c r="AC7" i="14"/>
  <c r="AC8" i="14"/>
  <c r="AC9" i="14"/>
  <c r="AC10" i="14"/>
  <c r="AC11" i="14"/>
  <c r="AC12" i="14"/>
  <c r="AC13" i="14"/>
  <c r="AC14" i="14"/>
  <c r="AC15" i="14"/>
  <c r="AC16" i="14"/>
  <c r="AC17" i="14"/>
  <c r="AC18" i="14"/>
  <c r="AC19" i="14"/>
  <c r="AC20" i="14"/>
  <c r="AC21" i="14"/>
  <c r="AC22" i="14"/>
  <c r="AC23" i="14"/>
  <c r="AC24" i="14"/>
  <c r="AC25" i="14"/>
  <c r="AC26" i="14"/>
  <c r="AC27" i="14"/>
  <c r="AC28" i="14"/>
  <c r="AC29" i="14"/>
  <c r="AC5" i="14"/>
  <c r="AB30" i="14"/>
  <c r="W6" i="14"/>
  <c r="W7" i="14"/>
  <c r="W8" i="14"/>
  <c r="W9" i="14"/>
  <c r="W10" i="14"/>
  <c r="W11" i="14"/>
  <c r="W12" i="14"/>
  <c r="W13" i="14"/>
  <c r="W14" i="14"/>
  <c r="W15" i="14"/>
  <c r="W16" i="14"/>
  <c r="W17" i="14"/>
  <c r="W18" i="14"/>
  <c r="W19" i="14"/>
  <c r="W20" i="14"/>
  <c r="W21" i="14"/>
  <c r="W22" i="14"/>
  <c r="W23" i="14"/>
  <c r="W24" i="14"/>
  <c r="W25" i="14"/>
  <c r="W26" i="14"/>
  <c r="W27" i="14"/>
  <c r="W28" i="14"/>
  <c r="W29" i="14"/>
  <c r="W5" i="14"/>
  <c r="V30" i="14"/>
  <c r="P58" i="14"/>
  <c r="J30" i="14"/>
  <c r="D30" i="14"/>
  <c r="D7" i="13"/>
  <c r="E7" i="13" s="1"/>
  <c r="D6" i="13"/>
  <c r="E6" i="13" s="1"/>
  <c r="D6" i="22" s="1"/>
  <c r="D5" i="13"/>
  <c r="E5" i="13" s="1"/>
  <c r="E4" i="22" l="1"/>
  <c r="E7" i="24"/>
  <c r="E9" i="24"/>
  <c r="C7" i="24"/>
  <c r="D5" i="22"/>
  <c r="D3" i="13"/>
  <c r="B11" i="24"/>
  <c r="C7" i="22"/>
  <c r="C5" i="24"/>
  <c r="D4" i="22"/>
  <c r="D7" i="22"/>
  <c r="C11" i="24"/>
  <c r="K4" i="19"/>
  <c r="D8" i="22"/>
  <c r="C13" i="24"/>
  <c r="H5" i="19"/>
  <c r="I5" i="19" s="1"/>
  <c r="L5" i="19" s="1"/>
  <c r="H4" i="21"/>
  <c r="I4" i="21" s="1"/>
  <c r="L4" i="21" s="1"/>
  <c r="B5" i="13"/>
  <c r="K4" i="17"/>
  <c r="H13" i="19"/>
  <c r="I13" i="19" s="1"/>
  <c r="L13" i="19" s="1"/>
  <c r="H18" i="19"/>
  <c r="I18" i="19" s="1"/>
  <c r="L18" i="19" s="1"/>
  <c r="H19" i="18"/>
  <c r="I19" i="18" s="1"/>
  <c r="L19" i="18" s="1"/>
  <c r="H5" i="18"/>
  <c r="I5" i="18" s="1"/>
  <c r="L5" i="18" s="1"/>
  <c r="K4" i="18"/>
  <c r="H13" i="17"/>
  <c r="I13" i="17" s="1"/>
  <c r="L13" i="17" s="1"/>
  <c r="H18" i="18"/>
  <c r="I18" i="18" s="1"/>
  <c r="L18" i="18" s="1"/>
  <c r="H8" i="17"/>
  <c r="I8" i="17" s="1"/>
  <c r="L8" i="17" s="1"/>
  <c r="H13" i="18"/>
  <c r="I13" i="18" s="1"/>
  <c r="L13" i="18" s="1"/>
  <c r="H6" i="17"/>
  <c r="I6" i="17" s="1"/>
  <c r="L6" i="17" s="1"/>
  <c r="H11" i="18"/>
  <c r="H12" i="19"/>
  <c r="I12" i="19" s="1"/>
  <c r="L12" i="19" s="1"/>
  <c r="H16" i="17"/>
  <c r="I16" i="17" s="1"/>
  <c r="L16" i="17" s="1"/>
  <c r="H7" i="18"/>
  <c r="I7" i="18" s="1"/>
  <c r="L7" i="18" s="1"/>
  <c r="I20" i="19"/>
  <c r="H7" i="19"/>
  <c r="I7" i="19" s="1"/>
  <c r="L7" i="19" s="1"/>
  <c r="H6" i="21"/>
  <c r="I6" i="21" s="1"/>
  <c r="L6" i="21" s="1"/>
  <c r="H15" i="17"/>
  <c r="I15" i="17" s="1"/>
  <c r="L15" i="17" s="1"/>
  <c r="H4" i="18"/>
  <c r="I4" i="18" s="1"/>
  <c r="L4" i="18" s="1"/>
  <c r="H6" i="18"/>
  <c r="I6" i="18" s="1"/>
  <c r="L6" i="18" s="1"/>
  <c r="H6" i="19"/>
  <c r="I6" i="19" s="1"/>
  <c r="L6" i="19" s="1"/>
  <c r="H7" i="21"/>
  <c r="I7" i="21" s="1"/>
  <c r="L7" i="21" s="1"/>
  <c r="H14" i="17"/>
  <c r="I14" i="17" s="1"/>
  <c r="L14" i="17" s="1"/>
  <c r="H8" i="21"/>
  <c r="I8" i="21" s="1"/>
  <c r="L8" i="21" s="1"/>
  <c r="H9" i="21"/>
  <c r="I9" i="21" s="1"/>
  <c r="L9" i="21" s="1"/>
  <c r="I20" i="17"/>
  <c r="H11" i="17"/>
  <c r="I11" i="17" s="1"/>
  <c r="L11" i="17" s="1"/>
  <c r="H16" i="18"/>
  <c r="I16" i="18" s="1"/>
  <c r="L16" i="18" s="1"/>
  <c r="H4" i="19"/>
  <c r="I4" i="19" s="1"/>
  <c r="L4" i="19" s="1"/>
  <c r="H5" i="21"/>
  <c r="I5" i="21" s="1"/>
  <c r="L5" i="21" s="1"/>
  <c r="B6" i="13"/>
  <c r="H12" i="17"/>
  <c r="I12" i="17" s="1"/>
  <c r="L12" i="17" s="1"/>
  <c r="H17" i="18"/>
  <c r="I17" i="18" s="1"/>
  <c r="L17" i="18" s="1"/>
  <c r="E3" i="12"/>
  <c r="H10" i="17"/>
  <c r="I10" i="17" s="1"/>
  <c r="L10" i="17" s="1"/>
  <c r="H15" i="18"/>
  <c r="I15" i="18" s="1"/>
  <c r="L15" i="18" s="1"/>
  <c r="H17" i="19"/>
  <c r="I17" i="19" s="1"/>
  <c r="L17" i="19" s="1"/>
  <c r="H9" i="17"/>
  <c r="I9" i="17" s="1"/>
  <c r="L9" i="17" s="1"/>
  <c r="I11" i="18"/>
  <c r="L11" i="18" s="1"/>
  <c r="H14" i="18"/>
  <c r="I14" i="18" s="1"/>
  <c r="L14" i="18" s="1"/>
  <c r="H16" i="19"/>
  <c r="I16" i="19" s="1"/>
  <c r="L16" i="19" s="1"/>
  <c r="H12" i="21"/>
  <c r="I12" i="21" s="1"/>
  <c r="L12" i="21" s="1"/>
  <c r="H15" i="19"/>
  <c r="I15" i="19" s="1"/>
  <c r="L15" i="19" s="1"/>
  <c r="H19" i="21"/>
  <c r="I19" i="21" s="1"/>
  <c r="H7" i="17"/>
  <c r="I7" i="17" s="1"/>
  <c r="L7" i="17" s="1"/>
  <c r="H12" i="18"/>
  <c r="I12" i="18" s="1"/>
  <c r="L12" i="18" s="1"/>
  <c r="H14" i="19"/>
  <c r="I14" i="19" s="1"/>
  <c r="L14" i="19" s="1"/>
  <c r="H11" i="19"/>
  <c r="I11" i="19" s="1"/>
  <c r="L11" i="19" s="1"/>
  <c r="H14" i="21"/>
  <c r="I14" i="21" s="1"/>
  <c r="L14" i="21" s="1"/>
  <c r="H15" i="21"/>
  <c r="I15" i="21" s="1"/>
  <c r="L15" i="21" s="1"/>
  <c r="H4" i="17"/>
  <c r="I4" i="17" s="1"/>
  <c r="L4" i="17" s="1"/>
  <c r="K4" i="16"/>
  <c r="H19" i="17"/>
  <c r="I19" i="17" s="1"/>
  <c r="H5" i="17"/>
  <c r="I5" i="17" s="1"/>
  <c r="L5" i="17" s="1"/>
  <c r="H10" i="18"/>
  <c r="I10" i="18" s="1"/>
  <c r="L10" i="18" s="1"/>
  <c r="H10" i="19"/>
  <c r="I10" i="19" s="1"/>
  <c r="L10" i="19" s="1"/>
  <c r="H13" i="21"/>
  <c r="I13" i="21" s="1"/>
  <c r="L13" i="21" s="1"/>
  <c r="H16" i="21"/>
  <c r="I16" i="21" s="1"/>
  <c r="L16" i="21" s="1"/>
  <c r="H18" i="17"/>
  <c r="I18" i="17" s="1"/>
  <c r="L18" i="17" s="1"/>
  <c r="H9" i="18"/>
  <c r="I9" i="18" s="1"/>
  <c r="L9" i="18" s="1"/>
  <c r="H9" i="19"/>
  <c r="I9" i="19" s="1"/>
  <c r="L9" i="19" s="1"/>
  <c r="H11" i="21"/>
  <c r="I11" i="21" s="1"/>
  <c r="L11" i="21" s="1"/>
  <c r="H17" i="21"/>
  <c r="I17" i="21" s="1"/>
  <c r="L17" i="21" s="1"/>
  <c r="H17" i="17"/>
  <c r="I17" i="17" s="1"/>
  <c r="L17" i="17" s="1"/>
  <c r="H8" i="18"/>
  <c r="I8" i="18" s="1"/>
  <c r="L8" i="18" s="1"/>
  <c r="H19" i="19"/>
  <c r="I19" i="19" s="1"/>
  <c r="H8" i="19"/>
  <c r="I8" i="19" s="1"/>
  <c r="L8" i="19" s="1"/>
  <c r="H10" i="21"/>
  <c r="I10" i="21" s="1"/>
  <c r="L10" i="21" s="1"/>
  <c r="H18" i="21"/>
  <c r="I18" i="21" s="1"/>
  <c r="L18" i="21" s="1"/>
  <c r="D19" i="21"/>
  <c r="K4" i="21"/>
  <c r="D19" i="19"/>
  <c r="I20" i="18"/>
  <c r="D19" i="17"/>
  <c r="B4" i="13"/>
  <c r="H11" i="16"/>
  <c r="H9" i="16"/>
  <c r="H4" i="16"/>
  <c r="I4" i="16" s="1"/>
  <c r="L4" i="16" s="1"/>
  <c r="H18" i="16"/>
  <c r="H17" i="16"/>
  <c r="B3" i="13"/>
  <c r="H12" i="16"/>
  <c r="H10" i="16"/>
  <c r="H15" i="16"/>
  <c r="H13" i="16"/>
  <c r="H8" i="16"/>
  <c r="H7" i="16"/>
  <c r="H6" i="16"/>
  <c r="H14" i="16"/>
  <c r="H5" i="16"/>
  <c r="E19" i="16"/>
  <c r="H19" i="16" s="1"/>
  <c r="D19" i="16"/>
  <c r="Q45" i="14"/>
  <c r="Q46" i="14"/>
  <c r="Q47" i="14"/>
  <c r="Q48" i="14"/>
  <c r="Q49" i="14"/>
  <c r="Q50" i="14"/>
  <c r="Q51" i="14"/>
  <c r="Q52" i="14"/>
  <c r="Q53" i="14"/>
  <c r="Q36" i="14"/>
  <c r="Q32" i="14"/>
  <c r="Q30" i="14"/>
  <c r="Q27" i="14"/>
  <c r="Q24" i="14"/>
  <c r="Q23" i="14"/>
  <c r="Q57" i="14"/>
  <c r="Q22" i="14"/>
  <c r="Q55" i="14"/>
  <c r="Q20" i="14"/>
  <c r="Q42" i="14"/>
  <c r="Q17" i="14"/>
  <c r="Q41" i="14"/>
  <c r="Q15" i="14"/>
  <c r="Q40" i="14"/>
  <c r="Q8" i="14"/>
  <c r="Q39" i="14"/>
  <c r="Q7" i="14"/>
  <c r="Q35" i="14"/>
  <c r="Q19" i="14"/>
  <c r="Q34" i="14"/>
  <c r="Q18" i="14"/>
  <c r="Q56" i="14"/>
  <c r="Q31" i="14"/>
  <c r="Q16" i="14"/>
  <c r="Q44" i="14"/>
  <c r="Q29" i="14"/>
  <c r="Q11" i="14"/>
  <c r="Q43" i="14"/>
  <c r="Q28" i="14"/>
  <c r="Q10" i="14"/>
  <c r="Q38" i="14"/>
  <c r="Q26" i="14"/>
  <c r="Q14" i="14"/>
  <c r="Q37" i="14"/>
  <c r="Q25" i="14"/>
  <c r="Q13" i="14"/>
  <c r="Q12" i="14"/>
  <c r="Q54" i="14"/>
  <c r="Q33" i="14"/>
  <c r="Q21" i="14"/>
  <c r="Q9" i="14"/>
  <c r="Q6" i="14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L208" i="9"/>
  <c r="L182" i="9"/>
  <c r="L167" i="9"/>
  <c r="L122" i="9"/>
  <c r="L120" i="9"/>
  <c r="L114" i="9"/>
  <c r="L74" i="9"/>
  <c r="B3" i="24" l="1"/>
  <c r="C3" i="22"/>
  <c r="B5" i="24"/>
  <c r="C4" i="22"/>
  <c r="C3" i="24"/>
  <c r="D3" i="22"/>
  <c r="B9" i="24"/>
  <c r="C6" i="22"/>
  <c r="B7" i="24"/>
  <c r="C5" i="22"/>
  <c r="E3" i="13"/>
  <c r="H16" i="16"/>
  <c r="I16" i="16" s="1"/>
  <c r="L16" i="16" s="1"/>
  <c r="L19" i="17"/>
  <c r="L19" i="21"/>
  <c r="L19" i="19"/>
  <c r="I9" i="16"/>
  <c r="L9" i="16" s="1"/>
  <c r="I11" i="16"/>
  <c r="L11" i="16" s="1"/>
  <c r="I17" i="16"/>
  <c r="L17" i="16" s="1"/>
  <c r="I13" i="16"/>
  <c r="L13" i="16" s="1"/>
  <c r="I7" i="16"/>
  <c r="L7" i="16" s="1"/>
  <c r="I10" i="16"/>
  <c r="L10" i="16" s="1"/>
  <c r="I15" i="16"/>
  <c r="L15" i="16" s="1"/>
  <c r="I12" i="16"/>
  <c r="L12" i="16" s="1"/>
  <c r="I18" i="16"/>
  <c r="L18" i="16" s="1"/>
  <c r="I8" i="16"/>
  <c r="L8" i="16" s="1"/>
  <c r="I6" i="16"/>
  <c r="L6" i="16" s="1"/>
  <c r="I14" i="16"/>
  <c r="L14" i="16" s="1"/>
  <c r="I5" i="16" l="1"/>
  <c r="L5" i="16" s="1"/>
  <c r="I19" i="16"/>
  <c r="L19" i="16" s="1"/>
</calcChain>
</file>

<file path=xl/sharedStrings.xml><?xml version="1.0" encoding="utf-8"?>
<sst xmlns="http://schemas.openxmlformats.org/spreadsheetml/2006/main" count="1531" uniqueCount="944">
  <si>
    <t>Blockchain Network</t>
  </si>
  <si>
    <t>Bitcoin</t>
  </si>
  <si>
    <t>Ethereum</t>
  </si>
  <si>
    <t>Cardano</t>
  </si>
  <si>
    <t>Solana</t>
  </si>
  <si>
    <t>Ripple</t>
  </si>
  <si>
    <t>Source: Bitnodes (2025). Bitnodes estimates the relative size of the Bitcoin peer-to-peer network by finding all of its reachable nodes. [Access: 07.11.2025]; [Online-available: https://bitnodes.io/nodes/all/countries/1d/]</t>
  </si>
  <si>
    <t>Nr.</t>
  </si>
  <si>
    <t>Country</t>
  </si>
  <si>
    <t>Active Nodes per Country</t>
  </si>
  <si>
    <t>Source: Ethereum Mainnet Statistics (2025). Consensus Layer Countries. [Access: 07.11.2025]; [Online-available: https://www.ethernodes.org/countries]</t>
  </si>
  <si>
    <t>Source: Cexplorer.io (2025). Relays Dominance by country. [Access: 10.11.2025]; [Online-available: https://cexplorer.io/relays]</t>
  </si>
  <si>
    <t>Source: Solana Compass (2025). Solana's Decentralization In Numbers. [Access: 10.11.2025]; [Online-available: https://solanacompass.com/statistics/decentralization]</t>
  </si>
  <si>
    <t>Source: Bithomp (2025). 889 XRPL nodes. Explore the list of XRPL nodes. View up-to-date statistics on node versions and countries (updated a few seconds ago). [Access: 10.11.2025]; [Online-available: https://bithomp.com/en/nodes]</t>
  </si>
  <si>
    <t>Absolute</t>
  </si>
  <si>
    <t>in %</t>
  </si>
  <si>
    <t>USA</t>
  </si>
  <si>
    <t>Germany</t>
  </si>
  <si>
    <t>France</t>
  </si>
  <si>
    <t>Finland</t>
  </si>
  <si>
    <t>United Kingdom</t>
  </si>
  <si>
    <t>Netherlands</t>
  </si>
  <si>
    <t>Canada</t>
  </si>
  <si>
    <t>Japan</t>
  </si>
  <si>
    <t>Singapore</t>
  </si>
  <si>
    <t>China</t>
  </si>
  <si>
    <t>Australia</t>
  </si>
  <si>
    <t>Sweden</t>
  </si>
  <si>
    <t>South Korea</t>
  </si>
  <si>
    <t>Switzerland</t>
  </si>
  <si>
    <t>Lithunia</t>
  </si>
  <si>
    <t>Ireland</t>
  </si>
  <si>
    <t>Spain</t>
  </si>
  <si>
    <t>Italy</t>
  </si>
  <si>
    <t>Russia</t>
  </si>
  <si>
    <t>Austria</t>
  </si>
  <si>
    <t>Norway</t>
  </si>
  <si>
    <t>Estonia</t>
  </si>
  <si>
    <t>Brazil</t>
  </si>
  <si>
    <t>India</t>
  </si>
  <si>
    <t>Poland</t>
  </si>
  <si>
    <t>Hong Kong</t>
  </si>
  <si>
    <t>Seychelles</t>
  </si>
  <si>
    <t>Belgium</t>
  </si>
  <si>
    <t>Kuwait</t>
  </si>
  <si>
    <t>Czechia</t>
  </si>
  <si>
    <t>United Arab Emirates</t>
  </si>
  <si>
    <t>Czech Rebuplic</t>
  </si>
  <si>
    <t>Mexico</t>
  </si>
  <si>
    <t>Slovenia</t>
  </si>
  <si>
    <t>Thailand</t>
  </si>
  <si>
    <t>South Africa</t>
  </si>
  <si>
    <t>Czech Republic</t>
  </si>
  <si>
    <t>Portugal</t>
  </si>
  <si>
    <t>Luxembourg</t>
  </si>
  <si>
    <t>Türkiye</t>
  </si>
  <si>
    <t>Vietnam</t>
  </si>
  <si>
    <t>Albania</t>
  </si>
  <si>
    <t>india</t>
  </si>
  <si>
    <t>Romania</t>
  </si>
  <si>
    <t>Latvia</t>
  </si>
  <si>
    <t>Other</t>
  </si>
  <si>
    <t>Total</t>
  </si>
  <si>
    <t>Lativia</t>
  </si>
  <si>
    <t>New Zealand</t>
  </si>
  <si>
    <t>Chile</t>
  </si>
  <si>
    <t>Greece</t>
  </si>
  <si>
    <t>Indonesia</t>
  </si>
  <si>
    <t>Taiwan</t>
  </si>
  <si>
    <t>Cyprus</t>
  </si>
  <si>
    <t>Argentina</t>
  </si>
  <si>
    <t>Croatia</t>
  </si>
  <si>
    <t>Malaysia</t>
  </si>
  <si>
    <t>Ghana</t>
  </si>
  <si>
    <t>Denmark</t>
  </si>
  <si>
    <t>Hungary</t>
  </si>
  <si>
    <t>Ukraine</t>
  </si>
  <si>
    <t>Liechtenstein</t>
  </si>
  <si>
    <t>Democratic Rebuclic of Kongo</t>
  </si>
  <si>
    <t>New Caledonia</t>
  </si>
  <si>
    <t>No.</t>
  </si>
  <si>
    <t>Authors</t>
  </si>
  <si>
    <t>Short Reference</t>
  </si>
  <si>
    <t>Publication Type</t>
  </si>
  <si>
    <t>Main Focus</t>
  </si>
  <si>
    <t>Quantitative Energy Data</t>
  </si>
  <si>
    <t>Qualitative Energy Assessment</t>
  </si>
  <si>
    <t>Relevance Category</t>
  </si>
  <si>
    <t>Consensus Algorithms in DLT for Open Environment</t>
  </si>
  <si>
    <t>Comparison of PoW, PoS, PBFT in open environments</t>
  </si>
  <si>
    <t>Partial</t>
  </si>
  <si>
    <t>Yes – discusses energy efficiency trends</t>
  </si>
  <si>
    <t>Conceptual + partial empirical</t>
  </si>
  <si>
    <t>Lamriji et al.</t>
  </si>
  <si>
    <t>Comparative Study of Consensus Algorithms</t>
  </si>
  <si>
    <t>Performance, scalability, security comparison</t>
  </si>
  <si>
    <t>No</t>
  </si>
  <si>
    <t>Yes – qualitative energy implications</t>
  </si>
  <si>
    <t>Conceptual survey</t>
  </si>
  <si>
    <t>Rajan et al.</t>
  </si>
  <si>
    <t>Blockchain Framework for Big Data at the Edge</t>
  </si>
  <si>
    <t>Energy-aware blockchain design for edge computing</t>
  </si>
  <si>
    <t>Yes</t>
  </si>
  <si>
    <t>Application-oriented</t>
  </si>
  <si>
    <t>Platt et al.</t>
  </si>
  <si>
    <t>Energy Footprint Beyond PoW</t>
  </si>
  <si>
    <t>Empirical comparison of PoW, PoS, PBFT, DAG</t>
  </si>
  <si>
    <t>Core quantitative</t>
  </si>
  <si>
    <t>Kohli et al.</t>
  </si>
  <si>
    <t>Energy Consumption and Carbon Footprints of Cryptocurrencies</t>
  </si>
  <si>
    <t>Energy &amp; CO₂ footprint of major blockchains</t>
  </si>
  <si>
    <t>Sarkodie et al.</t>
  </si>
  <si>
    <t>Assessment of Bitcoin Carbon Footprint</t>
  </si>
  <si>
    <t>Empirical Bitcoin mining energy &amp; emissions</t>
  </si>
  <si>
    <t>Zhang et al.</t>
  </si>
  <si>
    <t>QPBFT Consensus Algorithm</t>
  </si>
  <si>
    <t>PBFT variant improving efficiency &amp; latency</t>
  </si>
  <si>
    <t>Yes – energy reduction discussed</t>
  </si>
  <si>
    <t>Algorithmic</t>
  </si>
  <si>
    <t>Sealey et al.</t>
  </si>
  <si>
    <t>IOTA Tangle 2.0</t>
  </si>
  <si>
    <t>DAG consensus for scalable IoT</t>
  </si>
  <si>
    <t>Emerging DLT</t>
  </si>
  <si>
    <t>Kably et al.</t>
  </si>
  <si>
    <t>Lightweight DAG Blockchain for IoT</t>
  </si>
  <si>
    <t>Low-power DAG consensus for constrained devices</t>
  </si>
  <si>
    <t>Bachani &amp; Bhattachariya</t>
  </si>
  <si>
    <t>Preferential DPoS (PDPoS)</t>
  </si>
  <si>
    <t>Modified DPoS for scalability</t>
  </si>
  <si>
    <t>Yes – efficiency arguments</t>
  </si>
  <si>
    <t>Nguyen et al.</t>
  </si>
  <si>
    <t>PoS Consensus Mechanisms for Future Networks</t>
  </si>
  <si>
    <t>Comprehensive PoS survey</t>
  </si>
  <si>
    <t>Yes – energy efficiency narrative</t>
  </si>
  <si>
    <t>Sasikumar et al.</t>
  </si>
  <si>
    <t>Secure Big Data Storage via Blockchain</t>
  </si>
  <si>
    <t>Energy-aware consensus for storage systems</t>
  </si>
  <si>
    <t>Sedlmeir et al.</t>
  </si>
  <si>
    <t>Energy Consumption of Blockchain Technology</t>
  </si>
  <si>
    <t>Methodology for measuring blockchain energy use</t>
  </si>
  <si>
    <t>Methodological core</t>
  </si>
  <si>
    <t>Impact of Bitcoin Mining on Energy Use</t>
  </si>
  <si>
    <t>Drivers of Bitcoin energy consumption</t>
  </si>
  <si>
    <t>Bada et al.</t>
  </si>
  <si>
    <t>Towards a Green Blockchain</t>
  </si>
  <si>
    <t>Overview of energy-efficient consensus</t>
  </si>
  <si>
    <t>Conceptual review</t>
  </si>
  <si>
    <t>Roma &amp; Anwar</t>
  </si>
  <si>
    <t>Energy Consumption of XRP Validator</t>
  </si>
  <si>
    <t>Empirical XRP validator energy measurement</t>
  </si>
  <si>
    <t>Bouraga</t>
  </si>
  <si>
    <t>Taxonomy of Blockchain Consensus Protocols</t>
  </si>
  <si>
    <t>Classification of consensus mechanisms</t>
  </si>
  <si>
    <t>Yes – efficiency traits</t>
  </si>
  <si>
    <t>Conceptual taxonomy</t>
  </si>
  <si>
    <t>Data source</t>
  </si>
  <si>
    <t>URL</t>
  </si>
  <si>
    <t>Access date</t>
  </si>
  <si>
    <t>Description / Data provided</t>
  </si>
  <si>
    <t>Carbon Ratings Index (CCRI)</t>
  </si>
  <si>
    <t>https://indices.carbon-ratings.com/</t>
  </si>
  <si>
    <t>Annual network energy consumption (kWh/a) and total CO₂e emissions for major blockchain networks</t>
  </si>
  <si>
    <t>Electricity Maps ApS</t>
  </si>
  <si>
    <t>https://www.electricitymaps.com/</t>
  </si>
  <si>
    <t>Country-level electricity mix and CO₂e intensity (gCO₂e/kWh) used for emissions calculations</t>
  </si>
  <si>
    <t>Our World in Data (Oxford University)</t>
  </si>
  <si>
    <t>https://ourworldindata.org/</t>
  </si>
  <si>
    <t>National CO₂ emission factors and energy mix statistics</t>
  </si>
  <si>
    <t>Etherscan</t>
  </si>
  <si>
    <t>https://etherscan.io/</t>
  </si>
  <si>
    <t>Ethereum transaction counts and network activity</t>
  </si>
  <si>
    <t>Solscan</t>
  </si>
  <si>
    <t>https://solscan.io/</t>
  </si>
  <si>
    <t>Solana transaction volume and network statistics</t>
  </si>
  <si>
    <t>XRPScan</t>
  </si>
  <si>
    <t>https://xrpscan.com/</t>
  </si>
  <si>
    <t>Ripple (XRP Ledger) transaction counts and validator metrics</t>
  </si>
  <si>
    <t>IOTA Explorer</t>
  </si>
  <si>
    <t>https://explorer.iota.org/</t>
  </si>
  <si>
    <t>IOTA network activity and transaction volume</t>
  </si>
  <si>
    <t>BitInfoCharts</t>
  </si>
  <si>
    <t>https://bitinfocharts.com/</t>
  </si>
  <si>
    <t>Bitcoin and Ethereum transaction fees, transaction counts</t>
  </si>
  <si>
    <t>YCharts</t>
  </si>
  <si>
    <t>https://ycharts.com/</t>
  </si>
  <si>
    <t>Average transaction fees for Bitcoin and Ethereum</t>
  </si>
  <si>
    <t>The Block (Data)</t>
  </si>
  <si>
    <t>https://www.theblock.co/data</t>
  </si>
  <si>
    <t>Comparative on-chain metrics (BTC, ETH, SOL)</t>
  </si>
  <si>
    <t>CoinCodex</t>
  </si>
  <si>
    <t>https://coincodex.com/</t>
  </si>
  <si>
    <t>Gas fees, transaction costs, price-based conversions</t>
  </si>
  <si>
    <t>Coinbase</t>
  </si>
  <si>
    <t>https://www.coinbase.com/</t>
  </si>
  <si>
    <t>Cryptocurrency price data (USD conversions)</t>
  </si>
  <si>
    <t>GasFees.org</t>
  </si>
  <si>
    <t>https://gasfees.org/</t>
  </si>
  <si>
    <t>Transaction fee estimates for PoS networks (e.g. Cardano)</t>
  </si>
  <si>
    <t>IOTA Services</t>
  </si>
  <si>
    <t>https://www.iota-services.com/</t>
  </si>
  <si>
    <t>Zero-fee and DAG architecture documentation</t>
  </si>
  <si>
    <t xml:space="preserve">Blockchain-System </t>
  </si>
  <si>
    <t>Annual network energy consumption (9.11.25)</t>
  </si>
  <si>
    <t>Total Transaction (Extrapolated from 09.11.2025)</t>
  </si>
  <si>
    <t>Total CO2e-Emissions per Network (9.11.2025)</t>
  </si>
  <si>
    <t>gCO2e-Emissions per Transaction (9.11.2025)</t>
  </si>
  <si>
    <t>Source Energy Consumption</t>
  </si>
  <si>
    <t>https://indices.carbon-ratings.com/?</t>
  </si>
  <si>
    <t>[kWh/a]</t>
  </si>
  <si>
    <t>[tx]</t>
  </si>
  <si>
    <t>[t CO2e]</t>
  </si>
  <si>
    <t>[g CO2e/tx]</t>
  </si>
  <si>
    <t>Source Emissions</t>
  </si>
  <si>
    <t>Sources for Transactions</t>
  </si>
  <si>
    <t>Bitcoin, Ethereum Transactions Chart</t>
  </si>
  <si>
    <t>Ethereum Transactions Information | Etherscan</t>
  </si>
  <si>
    <t>Cardano transactions per seconds (TPS) | Cardano Explorer</t>
  </si>
  <si>
    <t>Solana Analytics | Solscan</t>
  </si>
  <si>
    <t>Iota</t>
  </si>
  <si>
    <t>XRP Ledger Metrics | XRPSCAN</t>
  </si>
  <si>
    <t>XRP Transactions Chart</t>
  </si>
  <si>
    <t>Energy Consumption 
per Transaction </t>
  </si>
  <si>
    <t>Number of Nodes 
for each Network</t>
  </si>
  <si>
    <t>Energy per Network Node per year</t>
  </si>
  <si>
    <t>Energy per Network Node per h</t>
  </si>
  <si>
    <t xml:space="preserve">Mean price per Transaction </t>
  </si>
  <si>
    <t>Price 
Calculation</t>
  </si>
  <si>
    <t>Sources</t>
  </si>
  <si>
    <t>[kWh / tx] </t>
  </si>
  <si>
    <t>Numbers</t>
  </si>
  <si>
    <t>[kWh / Node / a]</t>
  </si>
  <si>
    <t>kWh/node/h</t>
  </si>
  <si>
    <t>[$ / Tx] </t>
  </si>
  <si>
    <t>https://ycharts.com/indicators/bitcoin_average_transaction_fee?</t>
  </si>
  <si>
    <t>https://ycharts.com/indicators/ethereum_average_transaction_fee?</t>
  </si>
  <si>
    <t>https://bitinfocharts.com/xrp/</t>
  </si>
  <si>
    <t>ADA</t>
  </si>
  <si>
    <t>https://gasfees.org/what-are-cardano-gas-fees/</t>
  </si>
  <si>
    <t>b2binpay.com/en/news/top-12-cheapest-crypto-to-transfer-and-save-on-transaction-fees</t>
  </si>
  <si>
    <t>https://letsexchange.io/blog/cryptocurrencies-with-the-lowest-transaction-fees/</t>
  </si>
  <si>
    <t>https://www.theblock.co/data/on-chain-metrics/comparison-bitcoin-ethereum-solana/average-transaction-fee</t>
  </si>
  <si>
    <t>/b2binpay.com/en/news/top-12-cheapest-crypto-to-transfer-and-save-on-transaction-fees</t>
  </si>
  <si>
    <t>https://www.coinbase.com/en-de/converter/ada/usd</t>
  </si>
  <si>
    <t>https://coincodex.com/article/24933/solana-gas-fees/</t>
  </si>
  <si>
    <t xml:space="preserve"> </t>
  </si>
  <si>
    <t>https://www.iota-services.com/what-is-iota/</t>
  </si>
  <si>
    <t>https://bitinfocharts.com/bitcoin/</t>
  </si>
  <si>
    <t>https://bitinfocharts.com/comparison/transactionfees-btc-eth.html#3y</t>
  </si>
  <si>
    <t>Price</t>
  </si>
  <si>
    <t>https://etherscan.io/txs</t>
  </si>
  <si>
    <t>Mean Value</t>
  </si>
  <si>
    <t>undefined</t>
  </si>
  <si>
    <t>gCO2e/kWh</t>
  </si>
  <si>
    <t>IND</t>
  </si>
  <si>
    <t>EST</t>
  </si>
  <si>
    <t>AUT</t>
  </si>
  <si>
    <t>Sources = Average from</t>
  </si>
  <si>
    <t>Carbon Footprint Lrd</t>
  </si>
  <si>
    <t>POL</t>
  </si>
  <si>
    <t>GER</t>
  </si>
  <si>
    <t>CAN</t>
  </si>
  <si>
    <t>*Our World in Data</t>
  </si>
  <si>
    <t>HGK</t>
  </si>
  <si>
    <t>FIN</t>
  </si>
  <si>
    <t>ElecticityMaps</t>
  </si>
  <si>
    <t>CHN</t>
  </si>
  <si>
    <t>ITA</t>
  </si>
  <si>
    <t>BRA</t>
  </si>
  <si>
    <t>AUS</t>
  </si>
  <si>
    <t>IRL</t>
  </si>
  <si>
    <t>FRA</t>
  </si>
  <si>
    <t>SGP</t>
  </si>
  <si>
    <t>NLD</t>
  </si>
  <si>
    <t>CHE</t>
  </si>
  <si>
    <t>JPN</t>
  </si>
  <si>
    <t>GBR</t>
  </si>
  <si>
    <t>SWE</t>
  </si>
  <si>
    <t>RUS</t>
  </si>
  <si>
    <t>LTU</t>
  </si>
  <si>
    <t>Lithuania</t>
  </si>
  <si>
    <t>NOR</t>
  </si>
  <si>
    <t>KOR</t>
  </si>
  <si>
    <t>ESP</t>
  </si>
  <si>
    <t>*World Average</t>
  </si>
  <si>
    <t xml:space="preserve">Bitcoin  </t>
  </si>
  <si>
    <t>Top 15 Country</t>
  </si>
  <si>
    <t>Nodes</t>
  </si>
  <si>
    <t>Average Emissions
per Energy by Country</t>
  </si>
  <si>
    <t>Total network energy consumption (09.11.25)</t>
  </si>
  <si>
    <t>CO2e Emissions per transaction [kgCO2e/tx]</t>
  </si>
  <si>
    <t>[Distribution of Nodes]</t>
  </si>
  <si>
    <t>%</t>
  </si>
  <si>
    <t>[gCO2e / kWh]</t>
  </si>
  <si>
    <t>By Country [t]</t>
  </si>
  <si>
    <t>Average for the network</t>
  </si>
  <si>
    <t>Factor &gt; 1 = good to notarize; Factor &lt; 1 = bad to notarize</t>
  </si>
  <si>
    <t>CO2e Emissions per transaction [gCO2e/tx]</t>
  </si>
  <si>
    <t>HKG</t>
  </si>
  <si>
    <t>Ripple (XRP)</t>
  </si>
  <si>
    <t>x = 6</t>
  </si>
  <si>
    <t>Energy Consumption (x)</t>
  </si>
  <si>
    <t>Emissions (x)</t>
  </si>
  <si>
    <t>Price (x)</t>
  </si>
  <si>
    <t>System</t>
  </si>
  <si>
    <t>kWh / t(x)</t>
  </si>
  <si>
    <t>kgCO2e / t(x)</t>
  </si>
  <si>
    <t>$ /t (x)</t>
  </si>
  <si>
    <t>Tree Species</t>
  </si>
  <si>
    <t>Sequestered kgCO2e/m³</t>
  </si>
  <si>
    <t>Fagus sylvatica</t>
  </si>
  <si>
    <t>Quercus Robus</t>
  </si>
  <si>
    <t>Pinus Sylvestris</t>
  </si>
  <si>
    <t>Pseudotsuga Menziesii</t>
  </si>
  <si>
    <t>Picea Abies</t>
  </si>
  <si>
    <t>Energy Requirement in kWh/tx</t>
  </si>
  <si>
    <t>CO2 Emissions in gCO2e/tx</t>
  </si>
  <si>
    <t>Transaction Speed (TPS)</t>
  </si>
  <si>
    <t>Cost per Transaction in $/tx</t>
  </si>
  <si>
    <t>Bitcoin 
(PoW)</t>
  </si>
  <si>
    <t xml:space="preserve">Very High 
</t>
  </si>
  <si>
    <t xml:space="preserve">Very Low 
</t>
  </si>
  <si>
    <t>Ethereum 
(PoS)</t>
  </si>
  <si>
    <t xml:space="preserve">Low 
</t>
  </si>
  <si>
    <t xml:space="preserve">Moderate 
</t>
  </si>
  <si>
    <t>Cardano 
(PoS)</t>
  </si>
  <si>
    <t xml:space="preserve">Very Low
</t>
  </si>
  <si>
    <t>Solana 
(PoH/PoS)</t>
  </si>
  <si>
    <t xml:space="preserve">Extremely Low 
</t>
  </si>
  <si>
    <t>Ripple 
(PBFT)</t>
  </si>
  <si>
    <t xml:space="preserve">High 
</t>
  </si>
  <si>
    <t>IOTA 
(DAG)</t>
  </si>
  <si>
    <t xml:space="preserve">Extremely High 
</t>
  </si>
  <si>
    <t>No Costs</t>
  </si>
  <si>
    <t>1000 - ∞</t>
  </si>
  <si>
    <t>Carbon Footprint Ltd's Greenhouse Gas Emissions Factors for International Grid Electricity (calculated from fuel mix)</t>
  </si>
  <si>
    <t>Published by: Carbon Footprint Ltd</t>
  </si>
  <si>
    <t>Published date: 31 July 2024</t>
  </si>
  <si>
    <t>Methodology:</t>
  </si>
  <si>
    <t>The GHG emissions factor calculations provided in the table below are based on electricity fuel mix data from :</t>
  </si>
  <si>
    <t>Ember (2024); Energy Institute - Statistical Review of World Energy (2024) – with major processing by Our World in Data. “Total electricity generation – Ember and Energy Institute” [dataset]. Ember, “Yearly Electricity Data”; Energy Institute, “Statistical Review of World Energy” [original data].</t>
  </si>
  <si>
    <t>The calculations use GHG Conversion factors for fuels published by the UK Gov 2024 for Fuel emissions and Fuel Well to Tank (WTT) emissions</t>
  </si>
  <si>
    <t>Greenhouse gas reporting: conversion factors 2024 - GOV.UK (www.gov.uk)</t>
  </si>
  <si>
    <r>
      <t xml:space="preserve">Power station efficiencies have been accounted for using : </t>
    </r>
    <r>
      <rPr>
        <i/>
        <sz val="11"/>
        <color indexed="8"/>
        <rFont val="Calibri"/>
        <family val="2"/>
      </rPr>
      <t>Energy Efficiency Indicators for Public Electricity Production from Fossil Fuels, IEA, July 2008</t>
    </r>
  </si>
  <si>
    <t>Hydro, Solar, Wind and Nuclear energy are assumed to be zero emissions</t>
  </si>
  <si>
    <r>
      <t xml:space="preserve">The </t>
    </r>
    <r>
      <rPr>
        <b/>
        <sz val="11"/>
        <color indexed="8"/>
        <rFont val="Calibri"/>
        <family val="2"/>
      </rPr>
      <t>Transmission &amp; Distribution (T&amp;D)</t>
    </r>
    <r>
      <rPr>
        <sz val="11"/>
        <color theme="1"/>
        <rFont val="Aptos Narrow"/>
        <family val="2"/>
        <scheme val="minor"/>
      </rPr>
      <t xml:space="preserve"> Factor assumes the same percentage losses as in the past and uses ratios (Generation to T&amp;D) calculated from the UK Gov 2015 factors, apart from the UK's T&amp;D, which uses the ratio calculated from the most recent UK Gov 2024 factors release</t>
    </r>
  </si>
  <si>
    <t>For countries where the T&amp;D was not included in the DEFRA 2015 emissions factors, "world average" values have been applied.</t>
  </si>
  <si>
    <t>Source1
Carbon Footprint Ltd</t>
  </si>
  <si>
    <t>Source 3
Our World in Data
2023
(Last update 20.06.2024)</t>
  </si>
  <si>
    <t>Source4
ElectrcityMaps
(Average 
Feb. 2024 - Jan. 2025)</t>
  </si>
  <si>
    <t>Source2
VDA
2020
(Last Update Sep. 2024)</t>
  </si>
  <si>
    <t>Scope 2 
(2024)</t>
  </si>
  <si>
    <t>Scope 3</t>
  </si>
  <si>
    <t>Country 3 Letter Code</t>
  </si>
  <si>
    <t>Country 2 Letter Code</t>
  </si>
  <si>
    <t>Factor Year</t>
  </si>
  <si>
    <t>Fuel Mix Data Year</t>
  </si>
  <si>
    <r>
      <rPr>
        <b/>
        <sz val="11"/>
        <color rgb="FF000000"/>
        <rFont val="Aptos Narrow"/>
        <family val="2"/>
        <scheme val="minor"/>
      </rPr>
      <t>Electricity Generation Emissions Factor 
(kg CO</t>
    </r>
    <r>
      <rPr>
        <b/>
        <vertAlign val="subscript"/>
        <sz val="11"/>
        <color rgb="FF000000"/>
        <rFont val="Calibri"/>
        <family val="2"/>
      </rPr>
      <t>2</t>
    </r>
    <r>
      <rPr>
        <b/>
        <sz val="11"/>
        <color rgb="FF000000"/>
        <rFont val="Calibri"/>
        <family val="2"/>
      </rPr>
      <t>e/kWh)</t>
    </r>
  </si>
  <si>
    <r>
      <t>Estimated T&amp;D Factor 
(kg CO</t>
    </r>
    <r>
      <rPr>
        <vertAlign val="subscript"/>
        <sz val="11"/>
        <color indexed="8"/>
        <rFont val="Calibri"/>
        <family val="2"/>
      </rPr>
      <t>2</t>
    </r>
    <r>
      <rPr>
        <sz val="11"/>
        <color theme="1"/>
        <rFont val="Aptos Narrow"/>
        <family val="2"/>
        <scheme val="minor"/>
      </rPr>
      <t>e/kWh)</t>
    </r>
  </si>
  <si>
    <r>
      <t>Estimated WTT Factor  
(kg CO</t>
    </r>
    <r>
      <rPr>
        <vertAlign val="subscript"/>
        <sz val="11"/>
        <color indexed="8"/>
        <rFont val="Calibri"/>
        <family val="2"/>
      </rPr>
      <t>2</t>
    </r>
    <r>
      <rPr>
        <sz val="11"/>
        <color theme="1"/>
        <rFont val="Aptos Narrow"/>
        <family val="2"/>
        <scheme val="minor"/>
      </rPr>
      <t>e/kWh)</t>
    </r>
  </si>
  <si>
    <r>
      <t>Estimated WTT of T&amp;D Factor
(kg CO</t>
    </r>
    <r>
      <rPr>
        <vertAlign val="subscript"/>
        <sz val="11"/>
        <color indexed="8"/>
        <rFont val="Calibri"/>
        <family val="2"/>
      </rPr>
      <t>2</t>
    </r>
    <r>
      <rPr>
        <sz val="11"/>
        <color theme="1"/>
        <rFont val="Aptos Narrow"/>
        <family val="2"/>
        <scheme val="minor"/>
      </rPr>
      <t>e/kWh)</t>
    </r>
  </si>
  <si>
    <r>
      <t>Electricity Generation Emissions Factor 
(g CO</t>
    </r>
    <r>
      <rPr>
        <b/>
        <vertAlign val="subscript"/>
        <sz val="11"/>
        <color indexed="8"/>
        <rFont val="Calibri"/>
        <family val="2"/>
      </rPr>
      <t>2</t>
    </r>
    <r>
      <rPr>
        <b/>
        <sz val="11"/>
        <color indexed="8"/>
        <rFont val="Calibri"/>
        <family val="2"/>
      </rPr>
      <t>e/kWh)</t>
    </r>
  </si>
  <si>
    <t>g CO2e/kWh</t>
  </si>
  <si>
    <t>Priorität
- Source4
- Source1
- Source3
- Source2* mit Vermerk</t>
  </si>
  <si>
    <t>Afghanistan</t>
  </si>
  <si>
    <t>AFG</t>
  </si>
  <si>
    <t>AF</t>
  </si>
  <si>
    <t>ALB</t>
  </si>
  <si>
    <t>AL</t>
  </si>
  <si>
    <t>n.A.</t>
  </si>
  <si>
    <t>Algeria</t>
  </si>
  <si>
    <t>DZA</t>
  </si>
  <si>
    <t>DZ</t>
  </si>
  <si>
    <t>American Samoa</t>
  </si>
  <si>
    <t>ASM</t>
  </si>
  <si>
    <t>AS</t>
  </si>
  <si>
    <t>Angola</t>
  </si>
  <si>
    <t>AGO</t>
  </si>
  <si>
    <t>AO</t>
  </si>
  <si>
    <t>Antigua and Barbuda</t>
  </si>
  <si>
    <t>ATG</t>
  </si>
  <si>
    <t>AG</t>
  </si>
  <si>
    <t>ARG</t>
  </si>
  <si>
    <t>AR</t>
  </si>
  <si>
    <t>Armenia</t>
  </si>
  <si>
    <t>ARM</t>
  </si>
  <si>
    <t>AM</t>
  </si>
  <si>
    <t>Aruba</t>
  </si>
  <si>
    <t>ABW</t>
  </si>
  <si>
    <t>AW</t>
  </si>
  <si>
    <t>AU</t>
  </si>
  <si>
    <t>AT</t>
  </si>
  <si>
    <t>Azerbaijan</t>
  </si>
  <si>
    <t>AZE</t>
  </si>
  <si>
    <t>AZ</t>
  </si>
  <si>
    <t>Bahamas</t>
  </si>
  <si>
    <t>BHS</t>
  </si>
  <si>
    <t>BS</t>
  </si>
  <si>
    <t>Bahrain</t>
  </si>
  <si>
    <t>BHR</t>
  </si>
  <si>
    <t>BH</t>
  </si>
  <si>
    <t>Bangladesh</t>
  </si>
  <si>
    <t>BGD</t>
  </si>
  <si>
    <t>BD</t>
  </si>
  <si>
    <t>Barbados</t>
  </si>
  <si>
    <t>BRB</t>
  </si>
  <si>
    <t>BB</t>
  </si>
  <si>
    <t>Belarus</t>
  </si>
  <si>
    <t>BLR</t>
  </si>
  <si>
    <t>BY</t>
  </si>
  <si>
    <t>BEL</t>
  </si>
  <si>
    <t>BE</t>
  </si>
  <si>
    <t>Belize</t>
  </si>
  <si>
    <t>BLZ</t>
  </si>
  <si>
    <t>BZ</t>
  </si>
  <si>
    <t>Benin</t>
  </si>
  <si>
    <t>BEN</t>
  </si>
  <si>
    <t>BJ</t>
  </si>
  <si>
    <t>Bermuda</t>
  </si>
  <si>
    <t>BMU</t>
  </si>
  <si>
    <t>BM</t>
  </si>
  <si>
    <t>Bhutan</t>
  </si>
  <si>
    <t>BTN</t>
  </si>
  <si>
    <t>BT</t>
  </si>
  <si>
    <t>Bolivia</t>
  </si>
  <si>
    <t>BOL</t>
  </si>
  <si>
    <t>BO</t>
  </si>
  <si>
    <t>Bosnia and Herzegovina</t>
  </si>
  <si>
    <t>BIH</t>
  </si>
  <si>
    <t>BA</t>
  </si>
  <si>
    <t>Botswana</t>
  </si>
  <si>
    <t>BWA</t>
  </si>
  <si>
    <t>BW</t>
  </si>
  <si>
    <t>BR</t>
  </si>
  <si>
    <t>British Virgin Islands</t>
  </si>
  <si>
    <t>VGB</t>
  </si>
  <si>
    <t>VG</t>
  </si>
  <si>
    <t>Brunei</t>
  </si>
  <si>
    <t>BRN</t>
  </si>
  <si>
    <t>BN</t>
  </si>
  <si>
    <t>Bulgaria</t>
  </si>
  <si>
    <t>BGR</t>
  </si>
  <si>
    <t>BG</t>
  </si>
  <si>
    <t>Burkina Faso</t>
  </si>
  <si>
    <t>BFA</t>
  </si>
  <si>
    <t>BF</t>
  </si>
  <si>
    <t>Burundi</t>
  </si>
  <si>
    <t>BDI</t>
  </si>
  <si>
    <t>BI</t>
  </si>
  <si>
    <t>Cambodia</t>
  </si>
  <si>
    <t>KHM</t>
  </si>
  <si>
    <t>KH</t>
  </si>
  <si>
    <t>Cameroon</t>
  </si>
  <si>
    <t>CMR</t>
  </si>
  <si>
    <t>CM</t>
  </si>
  <si>
    <t>CA</t>
  </si>
  <si>
    <t>Cape Verde</t>
  </si>
  <si>
    <t>CPV</t>
  </si>
  <si>
    <t>CV</t>
  </si>
  <si>
    <t>Cayman Islands</t>
  </si>
  <si>
    <t>CYM</t>
  </si>
  <si>
    <t>KY</t>
  </si>
  <si>
    <t>Central African Republic</t>
  </si>
  <si>
    <t>CAF</t>
  </si>
  <si>
    <t>CF</t>
  </si>
  <si>
    <t>Chad</t>
  </si>
  <si>
    <t>TCD</t>
  </si>
  <si>
    <t>TD</t>
  </si>
  <si>
    <t>CHL</t>
  </si>
  <si>
    <t>CL</t>
  </si>
  <si>
    <t>CN</t>
  </si>
  <si>
    <t>Colombia</t>
  </si>
  <si>
    <t>COL</t>
  </si>
  <si>
    <t>CO</t>
  </si>
  <si>
    <t>Comoros</t>
  </si>
  <si>
    <t>COM</t>
  </si>
  <si>
    <t>KM</t>
  </si>
  <si>
    <t>Congo</t>
  </si>
  <si>
    <t>COG</t>
  </si>
  <si>
    <t>CG</t>
  </si>
  <si>
    <t>Cook Islands</t>
  </si>
  <si>
    <t>COK</t>
  </si>
  <si>
    <t>CK</t>
  </si>
  <si>
    <t>Costa Rica</t>
  </si>
  <si>
    <t>CRI</t>
  </si>
  <si>
    <t>CR</t>
  </si>
  <si>
    <t>Cote d'Ivoire</t>
  </si>
  <si>
    <t>CIV</t>
  </si>
  <si>
    <t>CI</t>
  </si>
  <si>
    <t>HRV</t>
  </si>
  <si>
    <t>HR</t>
  </si>
  <si>
    <t>Cuba</t>
  </si>
  <si>
    <t>CUB</t>
  </si>
  <si>
    <t>CU</t>
  </si>
  <si>
    <t>CYP</t>
  </si>
  <si>
    <t>CY</t>
  </si>
  <si>
    <t>CZE</t>
  </si>
  <si>
    <t>CZ</t>
  </si>
  <si>
    <t>Democratic Republic of Congo</t>
  </si>
  <si>
    <t>COD</t>
  </si>
  <si>
    <t>CD</t>
  </si>
  <si>
    <t>DNK</t>
  </si>
  <si>
    <t>DK</t>
  </si>
  <si>
    <t>Djibouti</t>
  </si>
  <si>
    <t>DJI</t>
  </si>
  <si>
    <t>DJ</t>
  </si>
  <si>
    <t>Dominica</t>
  </si>
  <si>
    <t>DMA</t>
  </si>
  <si>
    <t>DM</t>
  </si>
  <si>
    <t>Dominican Republic</t>
  </si>
  <si>
    <t>DOM</t>
  </si>
  <si>
    <t>DO</t>
  </si>
  <si>
    <t>East Timor</t>
  </si>
  <si>
    <t>TLS</t>
  </si>
  <si>
    <t>TL</t>
  </si>
  <si>
    <t>Ecuador</t>
  </si>
  <si>
    <t>ECU</t>
  </si>
  <si>
    <t>EC</t>
  </si>
  <si>
    <t>Egypt</t>
  </si>
  <si>
    <t>EGY</t>
  </si>
  <si>
    <t>EG</t>
  </si>
  <si>
    <t>El Salvador</t>
  </si>
  <si>
    <t>SLV</t>
  </si>
  <si>
    <t>SV</t>
  </si>
  <si>
    <t>Equatorial Guinea</t>
  </si>
  <si>
    <t>GNQ</t>
  </si>
  <si>
    <t>GQ</t>
  </si>
  <si>
    <t>Eritrea</t>
  </si>
  <si>
    <t>ERI</t>
  </si>
  <si>
    <t>ER</t>
  </si>
  <si>
    <t>EE</t>
  </si>
  <si>
    <t>Eswatini</t>
  </si>
  <si>
    <t>SWZ</t>
  </si>
  <si>
    <t>SZ</t>
  </si>
  <si>
    <t>Ethiopia</t>
  </si>
  <si>
    <t>ETH</t>
  </si>
  <si>
    <t>ET</t>
  </si>
  <si>
    <t>Falkland Islands</t>
  </si>
  <si>
    <t>FLK</t>
  </si>
  <si>
    <t>FK</t>
  </si>
  <si>
    <t>Faroe Islands</t>
  </si>
  <si>
    <t>FRO</t>
  </si>
  <si>
    <t>FO</t>
  </si>
  <si>
    <t>Fiji</t>
  </si>
  <si>
    <t>FJI</t>
  </si>
  <si>
    <t>FJ</t>
  </si>
  <si>
    <t>FI</t>
  </si>
  <si>
    <t>FR</t>
  </si>
  <si>
    <t>French Guiana</t>
  </si>
  <si>
    <t>GUF</t>
  </si>
  <si>
    <t>GF</t>
  </si>
  <si>
    <t>French Polynesia</t>
  </si>
  <si>
    <t>PYF</t>
  </si>
  <si>
    <t>PF</t>
  </si>
  <si>
    <t>Gabon</t>
  </si>
  <si>
    <t>GAB</t>
  </si>
  <si>
    <t>GA</t>
  </si>
  <si>
    <t>Gambia</t>
  </si>
  <si>
    <t>GMB</t>
  </si>
  <si>
    <t>GM</t>
  </si>
  <si>
    <t>Georgia</t>
  </si>
  <si>
    <t>GEO</t>
  </si>
  <si>
    <t>GE</t>
  </si>
  <si>
    <t>DEU</t>
  </si>
  <si>
    <t>DE</t>
  </si>
  <si>
    <t>GHA</t>
  </si>
  <si>
    <t>GH</t>
  </si>
  <si>
    <t>Gibraltar</t>
  </si>
  <si>
    <t>GIB</t>
  </si>
  <si>
    <t>GI</t>
  </si>
  <si>
    <t>GRC</t>
  </si>
  <si>
    <t>GR</t>
  </si>
  <si>
    <t>Greenland</t>
  </si>
  <si>
    <t>GRL</t>
  </si>
  <si>
    <t>GL</t>
  </si>
  <si>
    <t>Grenada</t>
  </si>
  <si>
    <t>GRD</t>
  </si>
  <si>
    <t>GD</t>
  </si>
  <si>
    <t>Guadeloupe</t>
  </si>
  <si>
    <t>GLP</t>
  </si>
  <si>
    <t>GP</t>
  </si>
  <si>
    <t>Guam</t>
  </si>
  <si>
    <t>GUM</t>
  </si>
  <si>
    <t>GU</t>
  </si>
  <si>
    <t>Guatemala</t>
  </si>
  <si>
    <t>GTM</t>
  </si>
  <si>
    <t>GT</t>
  </si>
  <si>
    <t>Guinea</t>
  </si>
  <si>
    <t>GIN</t>
  </si>
  <si>
    <t>GN</t>
  </si>
  <si>
    <t>Guinea-Bissau</t>
  </si>
  <si>
    <t>GNB</t>
  </si>
  <si>
    <t>GW</t>
  </si>
  <si>
    <t>Guyana</t>
  </si>
  <si>
    <t>GUY</t>
  </si>
  <si>
    <t>GY</t>
  </si>
  <si>
    <t>Haiti</t>
  </si>
  <si>
    <t>HTI</t>
  </si>
  <si>
    <t>HT</t>
  </si>
  <si>
    <t>Honduras</t>
  </si>
  <si>
    <t>HND</t>
  </si>
  <si>
    <t>HN</t>
  </si>
  <si>
    <t>HK</t>
  </si>
  <si>
    <t>HUN</t>
  </si>
  <si>
    <t>HU</t>
  </si>
  <si>
    <t>Iceland</t>
  </si>
  <si>
    <t>ISL</t>
  </si>
  <si>
    <t>IS</t>
  </si>
  <si>
    <t>IN</t>
  </si>
  <si>
    <t>IDN</t>
  </si>
  <si>
    <t>ID</t>
  </si>
  <si>
    <t>Iran</t>
  </si>
  <si>
    <t>IRN</t>
  </si>
  <si>
    <t>IR</t>
  </si>
  <si>
    <t>Iraq</t>
  </si>
  <si>
    <t>IRQ</t>
  </si>
  <si>
    <t>IQ</t>
  </si>
  <si>
    <t>IE</t>
  </si>
  <si>
    <t>Israel</t>
  </si>
  <si>
    <t>ISR</t>
  </si>
  <si>
    <t>IL</t>
  </si>
  <si>
    <t>IT</t>
  </si>
  <si>
    <t>Jamaica</t>
  </si>
  <si>
    <t>JAM</t>
  </si>
  <si>
    <t>JM</t>
  </si>
  <si>
    <t>JP</t>
  </si>
  <si>
    <t>Jordan</t>
  </si>
  <si>
    <t>JOR</t>
  </si>
  <si>
    <t>JO</t>
  </si>
  <si>
    <t>Kazakhstan</t>
  </si>
  <si>
    <t>KAZ</t>
  </si>
  <si>
    <t>KZ</t>
  </si>
  <si>
    <t>Kenya</t>
  </si>
  <si>
    <t>KEN</t>
  </si>
  <si>
    <t>KE</t>
  </si>
  <si>
    <t>Kiribati</t>
  </si>
  <si>
    <t>KIR</t>
  </si>
  <si>
    <t>KI</t>
  </si>
  <si>
    <t>Kosovo</t>
  </si>
  <si>
    <t>OWID_KOS</t>
  </si>
  <si>
    <t/>
  </si>
  <si>
    <t>KWT</t>
  </si>
  <si>
    <t>KW</t>
  </si>
  <si>
    <t>Kyrgyzstan</t>
  </si>
  <si>
    <t>KGZ</t>
  </si>
  <si>
    <t>KG</t>
  </si>
  <si>
    <t>Laos</t>
  </si>
  <si>
    <t>LAO</t>
  </si>
  <si>
    <t>LA</t>
  </si>
  <si>
    <t>LVA</t>
  </si>
  <si>
    <t>LV</t>
  </si>
  <si>
    <t>Lebanon</t>
  </si>
  <si>
    <t>LBN</t>
  </si>
  <si>
    <t>LB</t>
  </si>
  <si>
    <t>Lesotho</t>
  </si>
  <si>
    <t>LSO</t>
  </si>
  <si>
    <t>LS</t>
  </si>
  <si>
    <t>Liberia</t>
  </si>
  <si>
    <t>LBR</t>
  </si>
  <si>
    <t>LR</t>
  </si>
  <si>
    <t>Libya</t>
  </si>
  <si>
    <t>LBY</t>
  </si>
  <si>
    <t>LY</t>
  </si>
  <si>
    <t>LT</t>
  </si>
  <si>
    <t>LUX</t>
  </si>
  <si>
    <t>LU</t>
  </si>
  <si>
    <t>Macao</t>
  </si>
  <si>
    <t>MAC</t>
  </si>
  <si>
    <t>MO</t>
  </si>
  <si>
    <t>Madagascar</t>
  </si>
  <si>
    <t>MDG</t>
  </si>
  <si>
    <t>MG</t>
  </si>
  <si>
    <t>Malawi</t>
  </si>
  <si>
    <t>MWI</t>
  </si>
  <si>
    <t>MW</t>
  </si>
  <si>
    <t>MYS</t>
  </si>
  <si>
    <t>MY</t>
  </si>
  <si>
    <t>Maldives</t>
  </si>
  <si>
    <t>MDV</t>
  </si>
  <si>
    <t>MV</t>
  </si>
  <si>
    <t>Mali</t>
  </si>
  <si>
    <t>MLI</t>
  </si>
  <si>
    <t>ML</t>
  </si>
  <si>
    <t>Malta</t>
  </si>
  <si>
    <t>MLT</t>
  </si>
  <si>
    <t>MT</t>
  </si>
  <si>
    <t>Martinique</t>
  </si>
  <si>
    <t>MTQ</t>
  </si>
  <si>
    <t>MQ</t>
  </si>
  <si>
    <t>Mauritania</t>
  </si>
  <si>
    <t>MRT</t>
  </si>
  <si>
    <t>MR</t>
  </si>
  <si>
    <t>Mauritius</t>
  </si>
  <si>
    <t>MUS</t>
  </si>
  <si>
    <t>MU</t>
  </si>
  <si>
    <t>MEX</t>
  </si>
  <si>
    <t>MX</t>
  </si>
  <si>
    <t>Moldova</t>
  </si>
  <si>
    <t>MDA</t>
  </si>
  <si>
    <t>MD</t>
  </si>
  <si>
    <t>Mongolia</t>
  </si>
  <si>
    <t>MNG</t>
  </si>
  <si>
    <t>MN</t>
  </si>
  <si>
    <t>Montenegro</t>
  </si>
  <si>
    <t>MNE</t>
  </si>
  <si>
    <t>ME</t>
  </si>
  <si>
    <t>Montserrat</t>
  </si>
  <si>
    <t>MSR</t>
  </si>
  <si>
    <t>MS</t>
  </si>
  <si>
    <t>Morocco</t>
  </si>
  <si>
    <t>MAR</t>
  </si>
  <si>
    <t>MA</t>
  </si>
  <si>
    <t>Mozambique</t>
  </si>
  <si>
    <t>MOZ</t>
  </si>
  <si>
    <t>MZ</t>
  </si>
  <si>
    <t>Myanmar</t>
  </si>
  <si>
    <t>MMR</t>
  </si>
  <si>
    <t>MM</t>
  </si>
  <si>
    <t>Namibia</t>
  </si>
  <si>
    <t>NAM</t>
  </si>
  <si>
    <t>NA</t>
  </si>
  <si>
    <t>Nauru</t>
  </si>
  <si>
    <t>NRU</t>
  </si>
  <si>
    <t>NR</t>
  </si>
  <si>
    <t>Nepal</t>
  </si>
  <si>
    <t>NPL</t>
  </si>
  <si>
    <t>NP</t>
  </si>
  <si>
    <t>NL</t>
  </si>
  <si>
    <t>NCL</t>
  </si>
  <si>
    <t>NC</t>
  </si>
  <si>
    <t>NZL</t>
  </si>
  <si>
    <t>NZ</t>
  </si>
  <si>
    <t>Nicaragua</t>
  </si>
  <si>
    <t>NIC</t>
  </si>
  <si>
    <t>NI</t>
  </si>
  <si>
    <t>Niger</t>
  </si>
  <si>
    <t>NER</t>
  </si>
  <si>
    <t>NE</t>
  </si>
  <si>
    <t>Nigeria</t>
  </si>
  <si>
    <t>NGA</t>
  </si>
  <si>
    <t>NG</t>
  </si>
  <si>
    <t>North Korea</t>
  </si>
  <si>
    <t>PRK</t>
  </si>
  <si>
    <t>KP</t>
  </si>
  <si>
    <t>North Macedonia</t>
  </si>
  <si>
    <t>MKD</t>
  </si>
  <si>
    <t>MK</t>
  </si>
  <si>
    <t>NO</t>
  </si>
  <si>
    <t>Oman</t>
  </si>
  <si>
    <t>OMN</t>
  </si>
  <si>
    <t>OM</t>
  </si>
  <si>
    <t>Pakistan</t>
  </si>
  <si>
    <t>PAK</t>
  </si>
  <si>
    <t>PK</t>
  </si>
  <si>
    <t>Palestine</t>
  </si>
  <si>
    <t>PSE</t>
  </si>
  <si>
    <t>PS</t>
  </si>
  <si>
    <t>Panama</t>
  </si>
  <si>
    <t>PAN</t>
  </si>
  <si>
    <t>PA</t>
  </si>
  <si>
    <t>Papua New Guinea</t>
  </si>
  <si>
    <t>PNG</t>
  </si>
  <si>
    <t>PG</t>
  </si>
  <si>
    <t>Paraguay</t>
  </si>
  <si>
    <t>PRY</t>
  </si>
  <si>
    <t>PY</t>
  </si>
  <si>
    <t>Peru</t>
  </si>
  <si>
    <t>PER</t>
  </si>
  <si>
    <t>PE</t>
  </si>
  <si>
    <t>Philippines</t>
  </si>
  <si>
    <t>PHL</t>
  </si>
  <si>
    <t>PH</t>
  </si>
  <si>
    <t>PL</t>
  </si>
  <si>
    <t>PRT</t>
  </si>
  <si>
    <t>PT</t>
  </si>
  <si>
    <t>Puerto Rico</t>
  </si>
  <si>
    <t>PRI</t>
  </si>
  <si>
    <t>PR</t>
  </si>
  <si>
    <t>Qatar</t>
  </si>
  <si>
    <t>QAT</t>
  </si>
  <si>
    <t>QA</t>
  </si>
  <si>
    <t>Reunion</t>
  </si>
  <si>
    <t>REU</t>
  </si>
  <si>
    <t>RE</t>
  </si>
  <si>
    <t>ROU</t>
  </si>
  <si>
    <t>RO</t>
  </si>
  <si>
    <t>RU</t>
  </si>
  <si>
    <t>Rwanda</t>
  </si>
  <si>
    <t>RWA</t>
  </si>
  <si>
    <t>RW</t>
  </si>
  <si>
    <t>Saint Helena</t>
  </si>
  <si>
    <t>SHN</t>
  </si>
  <si>
    <t>SH</t>
  </si>
  <si>
    <t>Saint Kitts and Nevis</t>
  </si>
  <si>
    <t>KNA</t>
  </si>
  <si>
    <t>KN</t>
  </si>
  <si>
    <t>Saint Lucia</t>
  </si>
  <si>
    <t>LCA</t>
  </si>
  <si>
    <t>LC</t>
  </si>
  <si>
    <t>Saint Pierre and Miquelon</t>
  </si>
  <si>
    <t>SPM</t>
  </si>
  <si>
    <t>PM</t>
  </si>
  <si>
    <t>Saint Vincent and the Grenadines</t>
  </si>
  <si>
    <t>VCT</t>
  </si>
  <si>
    <t>VC</t>
  </si>
  <si>
    <t>Samoa</t>
  </si>
  <si>
    <t>WSM</t>
  </si>
  <si>
    <t>WS</t>
  </si>
  <si>
    <t>Sao Tome and Principe</t>
  </si>
  <si>
    <t>STP</t>
  </si>
  <si>
    <t>ST</t>
  </si>
  <si>
    <t>Saudi Arabia</t>
  </si>
  <si>
    <t>SAU</t>
  </si>
  <si>
    <t>SA</t>
  </si>
  <si>
    <t>Senegal</t>
  </si>
  <si>
    <t>SEN</t>
  </si>
  <si>
    <t>SN</t>
  </si>
  <si>
    <t>Serbia</t>
  </si>
  <si>
    <t>SRB</t>
  </si>
  <si>
    <t>RS</t>
  </si>
  <si>
    <t>SYC</t>
  </si>
  <si>
    <t>SC</t>
  </si>
  <si>
    <t>Sierra Leone</t>
  </si>
  <si>
    <t>SLE</t>
  </si>
  <si>
    <t>SL</t>
  </si>
  <si>
    <t>SG</t>
  </si>
  <si>
    <t>Slovakia</t>
  </si>
  <si>
    <t>SVK</t>
  </si>
  <si>
    <t>SK</t>
  </si>
  <si>
    <t>SVN</t>
  </si>
  <si>
    <t>SI</t>
  </si>
  <si>
    <t>Solomon Islands</t>
  </si>
  <si>
    <t>SLB</t>
  </si>
  <si>
    <t>SB</t>
  </si>
  <si>
    <t>Somalia</t>
  </si>
  <si>
    <t>SOM</t>
  </si>
  <si>
    <t>SO</t>
  </si>
  <si>
    <t>ZAF</t>
  </si>
  <si>
    <t>ZA</t>
  </si>
  <si>
    <t>KR</t>
  </si>
  <si>
    <t>South Sudan</t>
  </si>
  <si>
    <t>SSD</t>
  </si>
  <si>
    <t>SS</t>
  </si>
  <si>
    <t>ES</t>
  </si>
  <si>
    <t>Sri Lanka</t>
  </si>
  <si>
    <t>LKA</t>
  </si>
  <si>
    <t>LK</t>
  </si>
  <si>
    <t>Sudan</t>
  </si>
  <si>
    <t>SDN</t>
  </si>
  <si>
    <t>SD</t>
  </si>
  <si>
    <t>Suriname</t>
  </si>
  <si>
    <t>SUR</t>
  </si>
  <si>
    <t>SR</t>
  </si>
  <si>
    <t>SE</t>
  </si>
  <si>
    <t>CH</t>
  </si>
  <si>
    <t>Syria</t>
  </si>
  <si>
    <t>SYR</t>
  </si>
  <si>
    <t>SY</t>
  </si>
  <si>
    <t>TWN</t>
  </si>
  <si>
    <t>TW</t>
  </si>
  <si>
    <t>Tajikistan</t>
  </si>
  <si>
    <t>TJK</t>
  </si>
  <si>
    <t>TJ</t>
  </si>
  <si>
    <t>Tanzania</t>
  </si>
  <si>
    <t>TZA</t>
  </si>
  <si>
    <t>TZ</t>
  </si>
  <si>
    <t>THA</t>
  </si>
  <si>
    <t>TH</t>
  </si>
  <si>
    <t>Togo</t>
  </si>
  <si>
    <t>TGO</t>
  </si>
  <si>
    <t>TG</t>
  </si>
  <si>
    <t>Tonga</t>
  </si>
  <si>
    <t>TON</t>
  </si>
  <si>
    <t>TO</t>
  </si>
  <si>
    <t>Trinidad and Tobago</t>
  </si>
  <si>
    <t>TTO</t>
  </si>
  <si>
    <t>TT</t>
  </si>
  <si>
    <t>Tunisia</t>
  </si>
  <si>
    <t>TUN</t>
  </si>
  <si>
    <t>TN</t>
  </si>
  <si>
    <t>Turkey</t>
  </si>
  <si>
    <t>TUR</t>
  </si>
  <si>
    <t>TR</t>
  </si>
  <si>
    <t>Turkmenistan</t>
  </si>
  <si>
    <t>TKM</t>
  </si>
  <si>
    <t>TM</t>
  </si>
  <si>
    <t>Turks and Caicos Islands</t>
  </si>
  <si>
    <t>TCA</t>
  </si>
  <si>
    <t>TC</t>
  </si>
  <si>
    <t>Uganda</t>
  </si>
  <si>
    <t>UGA</t>
  </si>
  <si>
    <t>UG</t>
  </si>
  <si>
    <t>UKR</t>
  </si>
  <si>
    <t>UA</t>
  </si>
  <si>
    <t>ARE</t>
  </si>
  <si>
    <t>AE</t>
  </si>
  <si>
    <t>GB</t>
  </si>
  <si>
    <t>United States</t>
  </si>
  <si>
    <t>US</t>
  </si>
  <si>
    <t>United States Virgin Islands</t>
  </si>
  <si>
    <t>VIR</t>
  </si>
  <si>
    <t>VI</t>
  </si>
  <si>
    <t>Uruguay</t>
  </si>
  <si>
    <t>URY</t>
  </si>
  <si>
    <t>UY</t>
  </si>
  <si>
    <t>Uzbekistan</t>
  </si>
  <si>
    <t>UZB</t>
  </si>
  <si>
    <t>UZ</t>
  </si>
  <si>
    <t>Vanuatu</t>
  </si>
  <si>
    <t>VUT</t>
  </si>
  <si>
    <t>VU</t>
  </si>
  <si>
    <t>Venezuela</t>
  </si>
  <si>
    <t>VEN</t>
  </si>
  <si>
    <t>VE</t>
  </si>
  <si>
    <t>VNM</t>
  </si>
  <si>
    <t>VN</t>
  </si>
  <si>
    <t>Yemen</t>
  </si>
  <si>
    <t>YEM</t>
  </si>
  <si>
    <t>YE</t>
  </si>
  <si>
    <t>Zambia</t>
  </si>
  <si>
    <t>ZMB</t>
  </si>
  <si>
    <t>ZM</t>
  </si>
  <si>
    <t>Zimbabwe</t>
  </si>
  <si>
    <t>ZWE</t>
  </si>
  <si>
    <t>ZW</t>
  </si>
  <si>
    <t>World Average</t>
  </si>
  <si>
    <t>Masood et al. (2018)</t>
  </si>
  <si>
    <t>Journal article: 
doi.org/10.1109/CCAA.2018.8777695</t>
  </si>
  <si>
    <t>Journal article:
doi.org/10.1109/IRASET57153.2023.10153031</t>
  </si>
  <si>
    <t>Journal article: 
doi.org/10.1109/ICACITE57410.2023.10183224</t>
  </si>
  <si>
    <t>Journal article:
doi.org/10.1109/QRS-C55045.2021.00168</t>
  </si>
  <si>
    <t>Journal article:
doi.org/10.1016/j.dcan.2022.06.017</t>
  </si>
  <si>
    <t>Journal article:
doi.org/10.1016/j.horiz.2023.100060</t>
  </si>
  <si>
    <t>Journal article:
doi.org/10.1109/TrustCom50675.2020.00132</t>
  </si>
  <si>
    <t>Journal article:
doi.org/10.48550/arXiv.2209.04959</t>
  </si>
  <si>
    <t>Journal article:
doi.org/10.32604/cmc.2022.020833</t>
  </si>
  <si>
    <t>Journal article:
doi.org/10.3390/sym15010004</t>
  </si>
  <si>
    <t>Survey article:
doi.org/10.1109/ACCESS.2019.2925010</t>
  </si>
  <si>
    <t>Journal article:
doi.org/10.1109/ACCESS.2023.3282322</t>
  </si>
  <si>
    <t>Journal article:
doi.org/10.1007/s12599-020-00656-x</t>
  </si>
  <si>
    <t>Sapra &amp; Shaikh</t>
  </si>
  <si>
    <t>Journal article:
doi.org/10.1108/MF-03-2023-0179</t>
  </si>
  <si>
    <t>Review article:
doi.org/10.1109/DCOSS52077.2021.00083</t>
  </si>
  <si>
    <t>Technical report / Journal:
doi.org/10.1109/ICBC48266.2020.9169427</t>
  </si>
  <si>
    <t>Survey article:
doi.org/10.1016/j.eswa.2020.114384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</si>
</sst>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.0000_ ;\-#,##0.0000\ "/>
    <numFmt numFmtId="165" formatCode="#,##0.000000_ ;\-#,##0.000000\ "/>
    <numFmt numFmtId="166" formatCode="[$-F800]dddd\,\ mmmm\ dd\,\ yyyy"/>
    <numFmt numFmtId="167" formatCode="0.0"/>
    <numFmt numFmtId="168" formatCode="#,##0.0000"/>
    <numFmt numFmtId="169" formatCode="0.000"/>
    <numFmt numFmtId="170" formatCode="0.000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vertAlign val="subscript"/>
      <sz val="11"/>
      <color indexed="8"/>
      <name val="Calibri"/>
      <family val="2"/>
    </font>
    <font>
      <b/>
      <sz val="11"/>
      <color indexed="8"/>
      <name val="Calibri"/>
      <family val="2"/>
    </font>
    <font>
      <vertAlign val="subscript"/>
      <sz val="11"/>
      <color indexed="8"/>
      <name val="Calibri"/>
      <family val="2"/>
    </font>
    <font>
      <b/>
      <sz val="18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444444"/>
      <name val="Aptos Narrow"/>
      <family val="2"/>
      <scheme val="minor"/>
    </font>
    <font>
      <i/>
      <sz val="11"/>
      <color indexed="8"/>
      <name val="Calibri"/>
      <family val="2"/>
    </font>
    <font>
      <sz val="11"/>
      <color theme="0" tint="-0.499984740745262"/>
      <name val="Aptos Narrow"/>
      <family val="2"/>
      <scheme val="minor"/>
    </font>
    <font>
      <b/>
      <sz val="9"/>
      <color theme="0"/>
      <name val="Arial"/>
      <family val="2"/>
      <charset val="1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vertAlign val="subscript"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7">
    <xf numFmtId="0" fontId="0" fillId="0" borderId="0" xfId="0"/>
    <xf numFmtId="0" fontId="0" fillId="0" borderId="1" xfId="0" applyBorder="1"/>
    <xf numFmtId="0" fontId="4" fillId="0" borderId="1" xfId="1" applyBorder="1"/>
    <xf numFmtId="0" fontId="0" fillId="0" borderId="1" xfId="0" applyBorder="1" applyAlignment="1">
      <alignment horizontal="center"/>
    </xf>
    <xf numFmtId="0" fontId="4" fillId="0" borderId="0" xfId="1"/>
    <xf numFmtId="10" fontId="0" fillId="0" borderId="1" xfId="2" applyNumberFormat="1" applyFont="1" applyBorder="1" applyAlignment="1">
      <alignment horizontal="center" vertical="center"/>
    </xf>
    <xf numFmtId="10" fontId="0" fillId="0" borderId="1" xfId="2" applyNumberFormat="1" applyFont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10" fontId="0" fillId="5" borderId="1" xfId="2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3" fillId="0" borderId="6" xfId="0" applyFont="1" applyBorder="1" applyAlignment="1">
      <alignment wrapText="1"/>
    </xf>
    <xf numFmtId="0" fontId="3" fillId="8" borderId="1" xfId="0" applyFont="1" applyFill="1" applyBorder="1"/>
    <xf numFmtId="0" fontId="3" fillId="8" borderId="1" xfId="0" applyFont="1" applyFill="1" applyBorder="1" applyAlignment="1">
      <alignment horizontal="center" wrapText="1"/>
    </xf>
    <xf numFmtId="0" fontId="3" fillId="8" borderId="5" xfId="0" applyFont="1" applyFill="1" applyBorder="1" applyAlignment="1">
      <alignment horizontal="center" wrapText="1"/>
    </xf>
    <xf numFmtId="165" fontId="1" fillId="7" borderId="1" xfId="3" applyNumberFormat="1" applyFont="1" applyFill="1" applyBorder="1" applyAlignment="1">
      <alignment horizontal="center" wrapText="1"/>
    </xf>
    <xf numFmtId="165" fontId="1" fillId="0" borderId="1" xfId="3" applyNumberFormat="1" applyFont="1" applyBorder="1"/>
    <xf numFmtId="0" fontId="9" fillId="0" borderId="0" xfId="0" applyFont="1"/>
    <xf numFmtId="166" fontId="10" fillId="0" borderId="0" xfId="0" applyNumberFormat="1" applyFont="1" applyAlignment="1">
      <alignment horizontal="left"/>
    </xf>
    <xf numFmtId="166" fontId="0" fillId="0" borderId="0" xfId="0" applyNumberFormat="1" applyAlignment="1">
      <alignment horizontal="left"/>
    </xf>
    <xf numFmtId="0" fontId="3" fillId="0" borderId="0" xfId="0" applyFont="1"/>
    <xf numFmtId="0" fontId="10" fillId="0" borderId="0" xfId="0" applyFont="1"/>
    <xf numFmtId="0" fontId="4" fillId="0" borderId="0" xfId="1" applyFill="1"/>
    <xf numFmtId="0" fontId="11" fillId="0" borderId="0" xfId="0" applyFont="1"/>
    <xf numFmtId="0" fontId="0" fillId="0" borderId="6" xfId="0" applyBorder="1"/>
    <xf numFmtId="0" fontId="0" fillId="0" borderId="6" xfId="0" applyBorder="1" applyAlignment="1">
      <alignment horizontal="center"/>
    </xf>
    <xf numFmtId="165" fontId="5" fillId="7" borderId="7" xfId="3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/>
    </xf>
    <xf numFmtId="167" fontId="0" fillId="9" borderId="1" xfId="0" applyNumberFormat="1" applyFill="1" applyBorder="1" applyAlignment="1">
      <alignment horizontal="center" vertical="center"/>
    </xf>
    <xf numFmtId="164" fontId="5" fillId="10" borderId="7" xfId="3" applyNumberFormat="1" applyFont="1" applyFill="1" applyBorder="1" applyAlignment="1">
      <alignment horizontal="center" wrapText="1"/>
    </xf>
    <xf numFmtId="167" fontId="0" fillId="0" borderId="0" xfId="0" applyNumberFormat="1"/>
    <xf numFmtId="167" fontId="0" fillId="3" borderId="4" xfId="0" applyNumberFormat="1" applyFill="1" applyBorder="1" applyAlignment="1">
      <alignment horizontal="center" wrapText="1"/>
    </xf>
    <xf numFmtId="167" fontId="5" fillId="6" borderId="7" xfId="3" applyNumberFormat="1" applyFont="1" applyFill="1" applyBorder="1" applyAlignment="1">
      <alignment horizontal="center" wrapText="1"/>
    </xf>
    <xf numFmtId="167" fontId="3" fillId="6" borderId="1" xfId="3" applyNumberFormat="1" applyFont="1" applyFill="1" applyBorder="1" applyAlignment="1">
      <alignment horizontal="center" wrapText="1"/>
    </xf>
    <xf numFmtId="167" fontId="1" fillId="0" borderId="1" xfId="3" applyNumberFormat="1" applyFont="1" applyBorder="1"/>
    <xf numFmtId="0" fontId="13" fillId="3" borderId="1" xfId="0" applyFont="1" applyFill="1" applyBorder="1" applyAlignment="1">
      <alignment horizontal="center" vertical="center"/>
    </xf>
    <xf numFmtId="0" fontId="0" fillId="0" borderId="0" xfId="0" quotePrefix="1" applyAlignment="1">
      <alignment wrapText="1"/>
    </xf>
    <xf numFmtId="2" fontId="1" fillId="0" borderId="1" xfId="3" applyNumberFormat="1" applyFont="1" applyBorder="1"/>
    <xf numFmtId="2" fontId="0" fillId="0" borderId="0" xfId="0" applyNumberFormat="1"/>
    <xf numFmtId="0" fontId="0" fillId="0" borderId="0" xfId="0" applyAlignment="1">
      <alignment wrapText="1"/>
    </xf>
    <xf numFmtId="167" fontId="0" fillId="0" borderId="1" xfId="0" applyNumberFormat="1" applyBorder="1"/>
    <xf numFmtId="0" fontId="0" fillId="0" borderId="1" xfId="0" applyBorder="1" applyAlignment="1">
      <alignment horizontal="right"/>
    </xf>
    <xf numFmtId="0" fontId="0" fillId="11" borderId="1" xfId="0" applyFill="1" applyBorder="1"/>
    <xf numFmtId="0" fontId="0" fillId="0" borderId="7" xfId="0" applyBorder="1"/>
    <xf numFmtId="1" fontId="0" fillId="0" borderId="1" xfId="0" applyNumberFormat="1" applyBorder="1"/>
    <xf numFmtId="167" fontId="0" fillId="0" borderId="1" xfId="0" applyNumberFormat="1" applyBorder="1" applyAlignment="1">
      <alignment horizontal="right" indent="4"/>
    </xf>
    <xf numFmtId="0" fontId="10" fillId="0" borderId="0" xfId="1" applyFont="1" applyAlignment="1"/>
    <xf numFmtId="10" fontId="3" fillId="0" borderId="1" xfId="0" applyNumberFormat="1" applyFont="1" applyBorder="1" applyAlignment="1">
      <alignment horizontal="right" vertical="center" indent="3"/>
    </xf>
    <xf numFmtId="9" fontId="3" fillId="11" borderId="1" xfId="0" applyNumberFormat="1" applyFont="1" applyFill="1" applyBorder="1" applyAlignment="1">
      <alignment horizontal="right" vertical="center" indent="3"/>
    </xf>
    <xf numFmtId="3" fontId="0" fillId="0" borderId="1" xfId="0" applyNumberFormat="1" applyBorder="1" applyAlignment="1">
      <alignment horizontal="right" indent="2"/>
    </xf>
    <xf numFmtId="3" fontId="3" fillId="11" borderId="1" xfId="0" applyNumberFormat="1" applyFont="1" applyFill="1" applyBorder="1" applyAlignment="1">
      <alignment horizontal="right" vertical="center" indent="2"/>
    </xf>
    <xf numFmtId="10" fontId="3" fillId="0" borderId="1" xfId="0" applyNumberFormat="1" applyFont="1" applyBorder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7" fillId="0" borderId="0" xfId="1" applyFont="1" applyAlignment="1"/>
    <xf numFmtId="3" fontId="3" fillId="0" borderId="1" xfId="0" applyNumberFormat="1" applyFont="1" applyBorder="1" applyAlignment="1">
      <alignment vertical="center"/>
    </xf>
    <xf numFmtId="4" fontId="0" fillId="0" borderId="1" xfId="0" applyNumberFormat="1" applyBorder="1"/>
    <xf numFmtId="168" fontId="0" fillId="0" borderId="1" xfId="0" applyNumberFormat="1" applyBorder="1"/>
    <xf numFmtId="0" fontId="0" fillId="13" borderId="1" xfId="0" applyFill="1" applyBorder="1"/>
    <xf numFmtId="0" fontId="0" fillId="3" borderId="1" xfId="0" applyFill="1" applyBorder="1" applyAlignment="1">
      <alignment horizontal="center"/>
    </xf>
    <xf numFmtId="0" fontId="0" fillId="0" borderId="0" xfId="1" applyFont="1" applyFill="1" applyBorder="1" applyAlignment="1">
      <alignment horizontal="center" vertical="center"/>
    </xf>
    <xf numFmtId="10" fontId="0" fillId="0" borderId="0" xfId="2" applyNumberFormat="1" applyFont="1" applyFill="1" applyBorder="1" applyAlignment="1">
      <alignment horizontal="center"/>
    </xf>
    <xf numFmtId="0" fontId="4" fillId="0" borderId="0" xfId="1" applyBorder="1" applyAlignment="1">
      <alignment vertical="center" textRotation="90"/>
    </xf>
    <xf numFmtId="0" fontId="0" fillId="13" borderId="1" xfId="0" applyFill="1" applyBorder="1" applyAlignment="1">
      <alignment wrapText="1"/>
    </xf>
    <xf numFmtId="0" fontId="14" fillId="2" borderId="15" xfId="0" applyFont="1" applyFill="1" applyBorder="1"/>
    <xf numFmtId="2" fontId="0" fillId="13" borderId="17" xfId="0" applyNumberFormat="1" applyFill="1" applyBorder="1"/>
    <xf numFmtId="167" fontId="0" fillId="13" borderId="17" xfId="0" applyNumberFormat="1" applyFill="1" applyBorder="1"/>
    <xf numFmtId="0" fontId="0" fillId="13" borderId="19" xfId="0" applyFill="1" applyBorder="1"/>
    <xf numFmtId="2" fontId="0" fillId="13" borderId="20" xfId="0" applyNumberFormat="1" applyFill="1" applyBorder="1"/>
    <xf numFmtId="2" fontId="0" fillId="13" borderId="17" xfId="0" applyNumberFormat="1" applyFill="1" applyBorder="1" applyAlignment="1">
      <alignment wrapText="1"/>
    </xf>
    <xf numFmtId="167" fontId="0" fillId="13" borderId="20" xfId="0" applyNumberFormat="1" applyFill="1" applyBorder="1"/>
    <xf numFmtId="2" fontId="16" fillId="13" borderId="17" xfId="0" applyNumberFormat="1" applyFont="1" applyFill="1" applyBorder="1"/>
    <xf numFmtId="2" fontId="16" fillId="3" borderId="20" xfId="0" applyNumberFormat="1" applyFont="1" applyFill="1" applyBorder="1"/>
    <xf numFmtId="0" fontId="2" fillId="2" borderId="16" xfId="0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" xfId="1" applyFont="1" applyFill="1" applyBorder="1" applyAlignment="1">
      <alignment horizontal="center" vertical="center"/>
    </xf>
    <xf numFmtId="0" fontId="0" fillId="0" borderId="0" xfId="0" quotePrefix="1"/>
    <xf numFmtId="0" fontId="3" fillId="0" borderId="0" xfId="0" quotePrefix="1" applyFont="1" applyAlignment="1">
      <alignment horizontal="center"/>
    </xf>
    <xf numFmtId="0" fontId="0" fillId="0" borderId="0" xfId="0" quotePrefix="1" applyAlignment="1">
      <alignment horizontal="left"/>
    </xf>
    <xf numFmtId="0" fontId="3" fillId="0" borderId="0" xfId="0" quotePrefix="1" applyFont="1"/>
    <xf numFmtId="2" fontId="3" fillId="13" borderId="1" xfId="0" applyNumberFormat="1" applyFont="1" applyFill="1" applyBorder="1" applyAlignment="1">
      <alignment vertical="center"/>
    </xf>
    <xf numFmtId="2" fontId="3" fillId="13" borderId="1" xfId="0" applyNumberFormat="1" applyFont="1" applyFill="1" applyBorder="1"/>
    <xf numFmtId="167" fontId="3" fillId="0" borderId="1" xfId="0" applyNumberFormat="1" applyFont="1" applyBorder="1" applyAlignment="1">
      <alignment horizontal="center"/>
    </xf>
    <xf numFmtId="167" fontId="0" fillId="2" borderId="0" xfId="0" applyNumberFormat="1" applyFill="1"/>
    <xf numFmtId="0" fontId="0" fillId="2" borderId="1" xfId="0" applyFill="1" applyBorder="1"/>
    <xf numFmtId="1" fontId="3" fillId="11" borderId="1" xfId="0" applyNumberFormat="1" applyFont="1" applyFill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9" fontId="3" fillId="11" borderId="1" xfId="0" applyNumberFormat="1" applyFont="1" applyFill="1" applyBorder="1" applyAlignment="1">
      <alignment horizontal="center"/>
    </xf>
    <xf numFmtId="9" fontId="3" fillId="11" borderId="1" xfId="0" applyNumberFormat="1" applyFont="1" applyFill="1" applyBorder="1"/>
    <xf numFmtId="4" fontId="0" fillId="0" borderId="1" xfId="0" applyNumberFormat="1" applyBorder="1" applyAlignment="1">
      <alignment horizontal="right" indent="2"/>
    </xf>
    <xf numFmtId="4" fontId="3" fillId="11" borderId="1" xfId="0" applyNumberFormat="1" applyFont="1" applyFill="1" applyBorder="1" applyAlignment="1">
      <alignment horizontal="right" vertical="center" indent="2"/>
    </xf>
    <xf numFmtId="0" fontId="21" fillId="0" borderId="0" xfId="0" applyFont="1"/>
    <xf numFmtId="0" fontId="21" fillId="0" borderId="1" xfId="0" applyFont="1" applyBorder="1"/>
    <xf numFmtId="0" fontId="21" fillId="0" borderId="1" xfId="0" applyFont="1" applyBorder="1" applyAlignment="1">
      <alignment wrapText="1"/>
    </xf>
    <xf numFmtId="0" fontId="14" fillId="2" borderId="15" xfId="0" applyFont="1" applyFill="1" applyBorder="1" applyAlignment="1">
      <alignment horizontal="center" vertical="center" wrapText="1"/>
    </xf>
    <xf numFmtId="170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 applyAlignment="1">
      <alignment wrapText="1"/>
    </xf>
    <xf numFmtId="170" fontId="0" fillId="0" borderId="1" xfId="0" applyNumberFormat="1" applyBorder="1"/>
    <xf numFmtId="170" fontId="0" fillId="0" borderId="1" xfId="0" applyNumberFormat="1" applyBorder="1" applyAlignment="1">
      <alignment wrapText="1"/>
    </xf>
    <xf numFmtId="169" fontId="0" fillId="0" borderId="1" xfId="0" applyNumberFormat="1" applyBorder="1" applyAlignment="1">
      <alignment wrapText="1"/>
    </xf>
    <xf numFmtId="2" fontId="0" fillId="0" borderId="1" xfId="0" applyNumberFormat="1" applyBorder="1" applyAlignment="1">
      <alignment wrapText="1"/>
    </xf>
    <xf numFmtId="167" fontId="0" fillId="0" borderId="1" xfId="0" applyNumberFormat="1" applyBorder="1" applyAlignment="1">
      <alignment wrapText="1"/>
    </xf>
    <xf numFmtId="167" fontId="0" fillId="0" borderId="1" xfId="0" applyNumberFormat="1" applyBorder="1" applyAlignment="1">
      <alignment horizontal="right" wrapText="1"/>
    </xf>
    <xf numFmtId="2" fontId="0" fillId="0" borderId="1" xfId="0" applyNumberFormat="1" applyBorder="1" applyAlignment="1">
      <alignment horizontal="right"/>
    </xf>
    <xf numFmtId="170" fontId="0" fillId="0" borderId="0" xfId="0" applyNumberFormat="1" applyAlignment="1">
      <alignment horizontal="right"/>
    </xf>
    <xf numFmtId="170" fontId="0" fillId="0" borderId="1" xfId="0" applyNumberFormat="1" applyBorder="1" applyAlignment="1">
      <alignment horizontal="right" wrapText="1"/>
    </xf>
    <xf numFmtId="3" fontId="0" fillId="0" borderId="1" xfId="0" applyNumberFormat="1" applyBorder="1"/>
    <xf numFmtId="0" fontId="0" fillId="12" borderId="1" xfId="0" applyFill="1" applyBorder="1" applyAlignment="1">
      <alignment wrapText="1"/>
    </xf>
    <xf numFmtId="0" fontId="0" fillId="14" borderId="1" xfId="0" applyFill="1" applyBorder="1" applyAlignment="1">
      <alignment wrapText="1"/>
    </xf>
    <xf numFmtId="0" fontId="0" fillId="15" borderId="1" xfId="0" applyFill="1" applyBorder="1" applyAlignment="1">
      <alignment wrapText="1"/>
    </xf>
    <xf numFmtId="0" fontId="0" fillId="15" borderId="1" xfId="0" applyFill="1" applyBorder="1" applyAlignment="1">
      <alignment horizontal="left"/>
    </xf>
    <xf numFmtId="164" fontId="18" fillId="10" borderId="1" xfId="3" applyNumberFormat="1" applyFont="1" applyFill="1" applyBorder="1" applyAlignment="1">
      <alignment horizontal="center" wrapText="1"/>
    </xf>
    <xf numFmtId="0" fontId="0" fillId="0" borderId="10" xfId="0" applyBorder="1" applyAlignment="1">
      <alignment wrapText="1"/>
    </xf>
    <xf numFmtId="0" fontId="0" fillId="0" borderId="10" xfId="0" applyBorder="1"/>
    <xf numFmtId="0" fontId="0" fillId="0" borderId="11" xfId="0" applyBorder="1"/>
    <xf numFmtId="15" fontId="0" fillId="0" borderId="12" xfId="0" applyNumberFormat="1" applyBorder="1"/>
    <xf numFmtId="0" fontId="0" fillId="0" borderId="1" xfId="1" applyFont="1" applyBorder="1" applyAlignment="1">
      <alignment horizontal="center" vertical="center"/>
    </xf>
    <xf numFmtId="0" fontId="0" fillId="0" borderId="5" xfId="1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6" fillId="0" borderId="10" xfId="0" applyFont="1" applyBorder="1" applyAlignment="1">
      <alignment wrapText="1"/>
    </xf>
    <xf numFmtId="0" fontId="22" fillId="0" borderId="10" xfId="0" applyFont="1" applyBorder="1" applyAlignment="1">
      <alignment wrapText="1"/>
    </xf>
    <xf numFmtId="0" fontId="15" fillId="2" borderId="1" xfId="0" applyFont="1" applyFill="1" applyBorder="1" applyAlignment="1">
      <alignment horizontal="center"/>
    </xf>
    <xf numFmtId="0" fontId="4" fillId="0" borderId="9" xfId="1" applyBorder="1" applyAlignment="1">
      <alignment horizontal="center" vertical="center" textRotation="90"/>
    </xf>
    <xf numFmtId="0" fontId="4" fillId="0" borderId="8" xfId="1" applyBorder="1" applyAlignment="1">
      <alignment horizontal="center" vertical="center" textRotation="90"/>
    </xf>
    <xf numFmtId="0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1" applyFont="1" applyBorder="1" applyAlignment="1">
      <alignment horizontal="center" vertical="center"/>
    </xf>
    <xf numFmtId="0" fontId="0" fillId="0" borderId="5" xfId="1" applyFont="1" applyBorder="1" applyAlignment="1">
      <alignment horizontal="center" vertical="center"/>
    </xf>
    <xf numFmtId="0" fontId="4" fillId="0" borderId="1" xfId="1" applyBorder="1" applyAlignment="1">
      <alignment horizontal="center" vertical="center" textRotation="90"/>
    </xf>
    <xf numFmtId="0" fontId="14" fillId="2" borderId="21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/>
    </xf>
    <xf numFmtId="0" fontId="14" fillId="2" borderId="14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169" fontId="3" fillId="0" borderId="1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4" fillId="3" borderId="4" xfId="1" applyFill="1" applyBorder="1" applyAlignment="1">
      <alignment horizontal="center" vertical="center" wrapText="1"/>
    </xf>
    <xf numFmtId="0" fontId="4" fillId="3" borderId="5" xfId="1" applyFill="1" applyBorder="1" applyAlignment="1">
      <alignment horizontal="center" vertical="center" wrapText="1"/>
    </xf>
    <xf numFmtId="167" fontId="4" fillId="3" borderId="4" xfId="1" applyNumberFormat="1" applyFill="1" applyBorder="1" applyAlignment="1">
      <alignment horizontal="center" vertical="center" wrapText="1"/>
    </xf>
    <xf numFmtId="167" fontId="4" fillId="3" borderId="5" xfId="1" applyNumberForma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horizontal="center" vertical="center" wrapText="1"/>
    </xf>
    <xf numFmtId="0" fontId="14" fillId="2" borderId="26" xfId="0" applyFont="1" applyFill="1" applyBorder="1" applyAlignment="1">
      <alignment horizontal="center" vertical="center" wrapText="1"/>
    </xf>
    <xf numFmtId="0" fontId="14" fillId="2" borderId="27" xfId="0" applyFont="1" applyFill="1" applyBorder="1" applyAlignment="1">
      <alignment horizontal="center" vertical="center" wrapText="1"/>
    </xf>
    <xf numFmtId="0" fontId="4" fillId="0" borderId="1" xfId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4" fillId="2" borderId="28" xfId="0" applyFont="1" applyFill="1" applyBorder="1" applyAlignment="1">
      <alignment horizontal="center" vertical="center" wrapText="1"/>
    </xf>
    <xf numFmtId="0" fontId="18" fillId="0" borderId="0" xfId="0" applyFont="1"/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thernodes.org/countries" TargetMode="External"/><Relationship Id="rId1" Type="http://schemas.openxmlformats.org/officeDocument/2006/relationships/hyperlink" Target="https://www.ethernodes.org/countries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bitinfocharts.com/comparison/transactions-btc-eth.html" TargetMode="External"/><Relationship Id="rId3" Type="http://schemas.openxmlformats.org/officeDocument/2006/relationships/hyperlink" Target="https://bitinfocharts.com/comparison/transactions-btc-eth.html" TargetMode="External"/><Relationship Id="rId7" Type="http://schemas.openxmlformats.org/officeDocument/2006/relationships/hyperlink" Target="https://solscan.io/analytics" TargetMode="External"/><Relationship Id="rId2" Type="http://schemas.openxmlformats.org/officeDocument/2006/relationships/hyperlink" Target="https://indices.carbon-ratings.com/?" TargetMode="External"/><Relationship Id="rId1" Type="http://schemas.openxmlformats.org/officeDocument/2006/relationships/hyperlink" Target="https://indices.carbon-ratings.com/?" TargetMode="External"/><Relationship Id="rId6" Type="http://schemas.openxmlformats.org/officeDocument/2006/relationships/hyperlink" Target="https://xrpscan.com/metrics" TargetMode="External"/><Relationship Id="rId5" Type="http://schemas.openxmlformats.org/officeDocument/2006/relationships/hyperlink" Target="https://bitinfocharts.com/comparison/xrp-transactions.html" TargetMode="External"/><Relationship Id="rId10" Type="http://schemas.openxmlformats.org/officeDocument/2006/relationships/hyperlink" Target="https://cexplorer.io/tps" TargetMode="External"/><Relationship Id="rId4" Type="http://schemas.openxmlformats.org/officeDocument/2006/relationships/hyperlink" Target="https://explorer.iota.org/" TargetMode="External"/><Relationship Id="rId9" Type="http://schemas.openxmlformats.org/officeDocument/2006/relationships/hyperlink" Target="https://etherscan.io/txs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coincodex.com/article/24933/solana-gas-fees/" TargetMode="External"/><Relationship Id="rId13" Type="http://schemas.openxmlformats.org/officeDocument/2006/relationships/hyperlink" Target="https://www.iota-services.com/what-is-iota/" TargetMode="External"/><Relationship Id="rId3" Type="http://schemas.openxmlformats.org/officeDocument/2006/relationships/hyperlink" Target="https://bitinfocharts.com/bitcoin/" TargetMode="External"/><Relationship Id="rId7" Type="http://schemas.openxmlformats.org/officeDocument/2006/relationships/hyperlink" Target="https://bitinfocharts.com/xrp/" TargetMode="External"/><Relationship Id="rId12" Type="http://schemas.openxmlformats.org/officeDocument/2006/relationships/hyperlink" Target="https://www.coinbase.com/en-de/converter/ada/usd" TargetMode="External"/><Relationship Id="rId2" Type="http://schemas.openxmlformats.org/officeDocument/2006/relationships/hyperlink" Target="https://www.theblock.co/data/on-chain-metrics/comparison-bitcoin-ethereum-solana/average-transaction-fee" TargetMode="External"/><Relationship Id="rId1" Type="http://schemas.openxmlformats.org/officeDocument/2006/relationships/hyperlink" Target="https://ycharts.com/indicators/bitcoin_average_transaction_fee?" TargetMode="External"/><Relationship Id="rId6" Type="http://schemas.openxmlformats.org/officeDocument/2006/relationships/hyperlink" Target="https://www.theblock.co/data/on-chain-metrics/comparison-bitcoin-ethereum-solana/average-transaction-fee" TargetMode="External"/><Relationship Id="rId11" Type="http://schemas.openxmlformats.org/officeDocument/2006/relationships/hyperlink" Target="https://gasfees.org/what-are-cardano-gas-fees/" TargetMode="External"/><Relationship Id="rId5" Type="http://schemas.openxmlformats.org/officeDocument/2006/relationships/hyperlink" Target="https://ycharts.com/indicators/ethereum_average_transaction_fee" TargetMode="External"/><Relationship Id="rId10" Type="http://schemas.openxmlformats.org/officeDocument/2006/relationships/hyperlink" Target="https://letsexchange.io/blog/cryptocurrencies-with-the-lowest-transaction-fees/" TargetMode="External"/><Relationship Id="rId4" Type="http://schemas.openxmlformats.org/officeDocument/2006/relationships/hyperlink" Target="https://coincodex.com/article/24933/solana-gas-fees/" TargetMode="External"/><Relationship Id="rId9" Type="http://schemas.openxmlformats.org/officeDocument/2006/relationships/hyperlink" Target="https://letsexchange.io/blog/cryptocurrencies-with-the-lowest-transaction-fees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electricitymaps.com/map/72h/hourly" TargetMode="External"/><Relationship Id="rId2" Type="http://schemas.openxmlformats.org/officeDocument/2006/relationships/hyperlink" Target="https://ourworldindata.org/grapher/carbon-intensity-electricity" TargetMode="External"/><Relationship Id="rId1" Type="http://schemas.openxmlformats.org/officeDocument/2006/relationships/hyperlink" Target="https://www.gov.uk/government/publications/greenhouse-gas-reporting-conversion-factors-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90C-2B4A-4140-96A3-FB74997D1220}">
  <dimension ref="A1:AC58"/>
  <sheetViews>
    <sheetView zoomScale="70" zoomScaleNormal="70" workbookViewId="0">
      <selection activeCell="AC38" sqref="AC38"/>
    </sheetView>
  </sheetViews>
  <sheetFormatPr defaultColWidth="11.44140625" defaultRowHeight="14.4" x14ac:dyDescent="0.3"/>
  <cols>
    <col min="1" max="2" width="3.6640625" customWidth="1"/>
    <col min="6" max="6" width="3.33203125" customWidth="1"/>
    <col min="7" max="7" width="3.33203125" bestFit="1" customWidth="1"/>
    <col min="12" max="12" width="3.5546875" customWidth="1"/>
    <col min="13" max="13" width="4.6640625" bestFit="1" customWidth="1"/>
    <col min="18" max="18" width="1.88671875" customWidth="1"/>
    <col min="19" max="19" width="4.6640625" bestFit="1" customWidth="1"/>
    <col min="24" max="24" width="3.33203125" customWidth="1"/>
    <col min="25" max="25" width="4.6640625" bestFit="1" customWidth="1"/>
  </cols>
  <sheetData>
    <row r="1" spans="1:29" ht="23.4" x14ac:dyDescent="0.45">
      <c r="A1" s="19" t="s">
        <v>0</v>
      </c>
    </row>
    <row r="2" spans="1:29" x14ac:dyDescent="0.3">
      <c r="A2" s="130" t="s">
        <v>1</v>
      </c>
      <c r="B2" s="130"/>
      <c r="C2" s="130"/>
      <c r="D2" s="130"/>
      <c r="E2" s="130"/>
      <c r="G2" s="130" t="s">
        <v>2</v>
      </c>
      <c r="H2" s="130"/>
      <c r="I2" s="130"/>
      <c r="J2" s="130"/>
      <c r="K2" s="130"/>
      <c r="M2" s="130" t="s">
        <v>3</v>
      </c>
      <c r="N2" s="130"/>
      <c r="O2" s="130"/>
      <c r="P2" s="130"/>
      <c r="Q2" s="130"/>
      <c r="S2" s="130" t="s">
        <v>4</v>
      </c>
      <c r="T2" s="130"/>
      <c r="U2" s="130"/>
      <c r="V2" s="130"/>
      <c r="W2" s="130"/>
      <c r="Y2" s="130" t="s">
        <v>5</v>
      </c>
      <c r="Z2" s="130"/>
      <c r="AA2" s="130"/>
      <c r="AB2" s="130"/>
      <c r="AC2" s="130"/>
    </row>
    <row r="3" spans="1:29" ht="14.7" customHeight="1" x14ac:dyDescent="0.3">
      <c r="A3" s="137" t="s">
        <v>6</v>
      </c>
      <c r="B3" s="133" t="s">
        <v>7</v>
      </c>
      <c r="C3" s="134" t="s">
        <v>8</v>
      </c>
      <c r="D3" s="134" t="s">
        <v>9</v>
      </c>
      <c r="E3" s="134"/>
      <c r="G3" s="137" t="s">
        <v>10</v>
      </c>
      <c r="H3" s="133" t="s">
        <v>7</v>
      </c>
      <c r="I3" s="134" t="s">
        <v>8</v>
      </c>
      <c r="J3" s="134" t="s">
        <v>9</v>
      </c>
      <c r="K3" s="134"/>
      <c r="M3" s="131" t="s">
        <v>11</v>
      </c>
      <c r="N3" s="133" t="s">
        <v>7</v>
      </c>
      <c r="O3" s="134" t="s">
        <v>8</v>
      </c>
      <c r="P3" s="134" t="s">
        <v>9</v>
      </c>
      <c r="Q3" s="134"/>
      <c r="S3" s="131" t="s">
        <v>12</v>
      </c>
      <c r="T3" s="133" t="s">
        <v>7</v>
      </c>
      <c r="U3" s="134" t="s">
        <v>8</v>
      </c>
      <c r="V3" s="134" t="s">
        <v>9</v>
      </c>
      <c r="W3" s="134"/>
      <c r="Y3" s="131" t="s">
        <v>13</v>
      </c>
      <c r="Z3" s="133" t="s">
        <v>7</v>
      </c>
      <c r="AA3" s="134" t="s">
        <v>8</v>
      </c>
      <c r="AB3" s="134" t="s">
        <v>9</v>
      </c>
      <c r="AC3" s="134"/>
    </row>
    <row r="4" spans="1:29" x14ac:dyDescent="0.3">
      <c r="A4" s="137"/>
      <c r="B4" s="133"/>
      <c r="C4" s="134"/>
      <c r="D4" s="127" t="s">
        <v>14</v>
      </c>
      <c r="E4" s="5" t="s">
        <v>15</v>
      </c>
      <c r="G4" s="137"/>
      <c r="H4" s="133"/>
      <c r="I4" s="134"/>
      <c r="J4" s="127" t="s">
        <v>14</v>
      </c>
      <c r="K4" s="5" t="s">
        <v>15</v>
      </c>
      <c r="M4" s="132"/>
      <c r="N4" s="133"/>
      <c r="O4" s="134"/>
      <c r="P4" s="127" t="s">
        <v>14</v>
      </c>
      <c r="Q4" s="5" t="s">
        <v>15</v>
      </c>
      <c r="S4" s="132"/>
      <c r="T4" s="133"/>
      <c r="U4" s="134"/>
      <c r="V4" s="127" t="s">
        <v>14</v>
      </c>
      <c r="W4" s="5" t="s">
        <v>15</v>
      </c>
      <c r="Y4" s="132"/>
      <c r="Z4" s="133"/>
      <c r="AA4" s="134"/>
      <c r="AB4" s="127" t="s">
        <v>14</v>
      </c>
      <c r="AC4" s="5" t="s">
        <v>15</v>
      </c>
    </row>
    <row r="5" spans="1:29" x14ac:dyDescent="0.3">
      <c r="A5" s="137"/>
      <c r="B5" s="122">
        <v>1</v>
      </c>
      <c r="C5" s="63" t="s">
        <v>16</v>
      </c>
      <c r="D5" s="79">
        <v>15752</v>
      </c>
      <c r="E5" s="6">
        <f>D5/$D$31</f>
        <v>0.23099483810417645</v>
      </c>
      <c r="G5" s="137"/>
      <c r="H5" s="80">
        <v>1</v>
      </c>
      <c r="I5" s="63" t="s">
        <v>16</v>
      </c>
      <c r="J5" s="3">
        <v>2858</v>
      </c>
      <c r="K5" s="6">
        <f>$J5/$J$31</f>
        <v>0.3161504424778761</v>
      </c>
      <c r="M5" s="132"/>
      <c r="N5" s="122">
        <v>1</v>
      </c>
      <c r="O5" s="63" t="s">
        <v>17</v>
      </c>
      <c r="P5" s="3">
        <v>787</v>
      </c>
      <c r="Q5" s="6">
        <f>$P5/$P$58</f>
        <v>0.27440725244072522</v>
      </c>
      <c r="S5" s="132"/>
      <c r="T5" s="122">
        <v>1</v>
      </c>
      <c r="U5" s="63" t="s">
        <v>16</v>
      </c>
      <c r="V5" s="127">
        <v>1787</v>
      </c>
      <c r="W5" s="6">
        <f>$V5/$V$31</f>
        <v>0.30547008547008547</v>
      </c>
      <c r="Y5" s="132"/>
      <c r="Z5" s="122">
        <v>1</v>
      </c>
      <c r="AA5" s="63" t="s">
        <v>16</v>
      </c>
      <c r="AB5" s="127">
        <v>194</v>
      </c>
      <c r="AC5" s="6">
        <f>$AB5/$AB$31</f>
        <v>0.21822272215973004</v>
      </c>
    </row>
    <row r="6" spans="1:29" x14ac:dyDescent="0.3">
      <c r="A6" s="137"/>
      <c r="B6" s="122">
        <v>2</v>
      </c>
      <c r="C6" s="63" t="s">
        <v>17</v>
      </c>
      <c r="D6" s="79">
        <v>6813</v>
      </c>
      <c r="E6" s="6">
        <f t="shared" ref="E6:E29" si="0">D6/$D$31</f>
        <v>9.9909080244016887E-2</v>
      </c>
      <c r="G6" s="137"/>
      <c r="H6" s="80">
        <v>2</v>
      </c>
      <c r="I6" s="63" t="s">
        <v>17</v>
      </c>
      <c r="J6" s="3">
        <v>1353</v>
      </c>
      <c r="K6" s="6">
        <f t="shared" ref="K6:K29" si="1">$J6/$J$31</f>
        <v>0.14966814159292036</v>
      </c>
      <c r="M6" s="132"/>
      <c r="N6" s="122">
        <v>2</v>
      </c>
      <c r="O6" s="63" t="s">
        <v>16</v>
      </c>
      <c r="P6" s="3">
        <v>743</v>
      </c>
      <c r="Q6" s="6">
        <f t="shared" ref="Q6:Q36" si="2">$P6/$P$58</f>
        <v>0.25906555090655509</v>
      </c>
      <c r="S6" s="132"/>
      <c r="T6" s="122">
        <v>2</v>
      </c>
      <c r="U6" s="63" t="s">
        <v>17</v>
      </c>
      <c r="V6" s="127">
        <v>1170</v>
      </c>
      <c r="W6" s="6">
        <f t="shared" ref="W6:W29" si="3">$V6/$V$31</f>
        <v>0.2</v>
      </c>
      <c r="Y6" s="132"/>
      <c r="Z6" s="122">
        <v>2</v>
      </c>
      <c r="AA6" s="63" t="s">
        <v>17</v>
      </c>
      <c r="AB6" s="127">
        <v>105</v>
      </c>
      <c r="AC6" s="6">
        <f t="shared" ref="AC6:AC29" si="4">$AB6/$AB$31</f>
        <v>0.11811023622047244</v>
      </c>
    </row>
    <row r="7" spans="1:29" x14ac:dyDescent="0.3">
      <c r="A7" s="137"/>
      <c r="B7" s="122">
        <v>3</v>
      </c>
      <c r="C7" s="63" t="s">
        <v>18</v>
      </c>
      <c r="D7" s="79">
        <v>2333</v>
      </c>
      <c r="E7" s="6">
        <f t="shared" si="0"/>
        <v>3.4212224307836693E-2</v>
      </c>
      <c r="G7" s="137"/>
      <c r="H7" s="80">
        <v>3</v>
      </c>
      <c r="I7" s="63" t="s">
        <v>19</v>
      </c>
      <c r="J7" s="3">
        <v>552</v>
      </c>
      <c r="K7" s="6">
        <f t="shared" si="1"/>
        <v>6.1061946902654866E-2</v>
      </c>
      <c r="M7" s="132"/>
      <c r="N7" s="122">
        <v>3</v>
      </c>
      <c r="O7" s="63" t="s">
        <v>20</v>
      </c>
      <c r="P7" s="3">
        <v>174</v>
      </c>
      <c r="Q7" s="6">
        <f t="shared" si="2"/>
        <v>6.0669456066945605E-2</v>
      </c>
      <c r="S7" s="132"/>
      <c r="T7" s="122">
        <v>3</v>
      </c>
      <c r="U7" s="63" t="s">
        <v>21</v>
      </c>
      <c r="V7" s="127">
        <v>708</v>
      </c>
      <c r="W7" s="6">
        <f t="shared" si="3"/>
        <v>0.12102564102564102</v>
      </c>
      <c r="Y7" s="132"/>
      <c r="Z7" s="122">
        <v>3</v>
      </c>
      <c r="AA7" s="63" t="s">
        <v>19</v>
      </c>
      <c r="AB7" s="127">
        <v>63</v>
      </c>
      <c r="AC7" s="6">
        <f t="shared" si="4"/>
        <v>7.0866141732283464E-2</v>
      </c>
    </row>
    <row r="8" spans="1:29" x14ac:dyDescent="0.3">
      <c r="A8" s="137"/>
      <c r="B8" s="122">
        <v>4</v>
      </c>
      <c r="C8" s="63" t="s">
        <v>22</v>
      </c>
      <c r="D8" s="79">
        <v>2271</v>
      </c>
      <c r="E8" s="6">
        <f t="shared" si="0"/>
        <v>3.3303026748005629E-2</v>
      </c>
      <c r="G8" s="137"/>
      <c r="H8" s="80">
        <v>4</v>
      </c>
      <c r="I8" s="63" t="s">
        <v>18</v>
      </c>
      <c r="J8" s="3">
        <v>531</v>
      </c>
      <c r="K8" s="6">
        <f t="shared" si="1"/>
        <v>5.8738938053097343E-2</v>
      </c>
      <c r="M8" s="132"/>
      <c r="N8" s="122">
        <v>4</v>
      </c>
      <c r="O8" s="63" t="s">
        <v>21</v>
      </c>
      <c r="P8" s="3">
        <v>142</v>
      </c>
      <c r="Q8" s="6">
        <f t="shared" si="2"/>
        <v>4.9511854951185492E-2</v>
      </c>
      <c r="S8" s="132"/>
      <c r="T8" s="122">
        <v>4</v>
      </c>
      <c r="U8" s="63" t="s">
        <v>18</v>
      </c>
      <c r="V8" s="127">
        <v>341</v>
      </c>
      <c r="W8" s="6">
        <f t="shared" si="3"/>
        <v>5.8290598290598288E-2</v>
      </c>
      <c r="Y8" s="132"/>
      <c r="Z8" s="122">
        <v>4</v>
      </c>
      <c r="AA8" s="63" t="s">
        <v>23</v>
      </c>
      <c r="AB8" s="127">
        <v>47</v>
      </c>
      <c r="AC8" s="6">
        <f t="shared" si="4"/>
        <v>5.2868391451068614E-2</v>
      </c>
    </row>
    <row r="9" spans="1:29" x14ac:dyDescent="0.3">
      <c r="A9" s="137"/>
      <c r="B9" s="122">
        <v>5</v>
      </c>
      <c r="C9" s="63" t="s">
        <v>20</v>
      </c>
      <c r="D9" s="79">
        <v>1771</v>
      </c>
      <c r="E9" s="6">
        <f t="shared" si="0"/>
        <v>2.5970788362271235E-2</v>
      </c>
      <c r="G9" s="137"/>
      <c r="H9" s="80">
        <v>5</v>
      </c>
      <c r="I9" s="63" t="s">
        <v>20</v>
      </c>
      <c r="J9" s="3">
        <v>378</v>
      </c>
      <c r="K9" s="6">
        <f t="shared" si="1"/>
        <v>4.1814159292035399E-2</v>
      </c>
      <c r="M9" s="132"/>
      <c r="N9" s="122">
        <v>5</v>
      </c>
      <c r="O9" s="63" t="s">
        <v>18</v>
      </c>
      <c r="P9" s="3">
        <v>113</v>
      </c>
      <c r="Q9" s="6">
        <f t="shared" si="2"/>
        <v>3.9400278940027893E-2</v>
      </c>
      <c r="S9" s="132"/>
      <c r="T9" s="122">
        <v>5</v>
      </c>
      <c r="U9" s="63" t="s">
        <v>22</v>
      </c>
      <c r="V9" s="127">
        <v>338</v>
      </c>
      <c r="W9" s="6">
        <f t="shared" si="3"/>
        <v>5.7777777777777775E-2</v>
      </c>
      <c r="Y9" s="132"/>
      <c r="Z9" s="122">
        <v>5</v>
      </c>
      <c r="AA9" s="63" t="s">
        <v>24</v>
      </c>
      <c r="AB9" s="127">
        <v>41</v>
      </c>
      <c r="AC9" s="6">
        <f t="shared" si="4"/>
        <v>4.6119235095613047E-2</v>
      </c>
    </row>
    <row r="10" spans="1:29" x14ac:dyDescent="0.3">
      <c r="A10" s="137"/>
      <c r="B10" s="122">
        <v>6</v>
      </c>
      <c r="C10" s="63" t="s">
        <v>21</v>
      </c>
      <c r="D10" s="79">
        <v>1710</v>
      </c>
      <c r="E10" s="6">
        <f t="shared" si="0"/>
        <v>2.5076255279211639E-2</v>
      </c>
      <c r="G10" s="137"/>
      <c r="H10" s="80">
        <v>6</v>
      </c>
      <c r="I10" s="63" t="s">
        <v>24</v>
      </c>
      <c r="J10" s="3">
        <v>349</v>
      </c>
      <c r="K10" s="6">
        <f t="shared" si="1"/>
        <v>3.8606194690265487E-2</v>
      </c>
      <c r="M10" s="132"/>
      <c r="N10" s="122">
        <v>6</v>
      </c>
      <c r="O10" s="63" t="s">
        <v>23</v>
      </c>
      <c r="P10" s="3">
        <v>131</v>
      </c>
      <c r="Q10" s="6">
        <f t="shared" si="2"/>
        <v>4.5676429567642958E-2</v>
      </c>
      <c r="S10" s="132"/>
      <c r="T10" s="122">
        <v>6</v>
      </c>
      <c r="U10" s="63" t="s">
        <v>23</v>
      </c>
      <c r="V10" s="127">
        <v>312</v>
      </c>
      <c r="W10" s="6">
        <f t="shared" si="3"/>
        <v>5.3333333333333337E-2</v>
      </c>
      <c r="Y10" s="132"/>
      <c r="Z10" s="122">
        <v>6</v>
      </c>
      <c r="AA10" s="63" t="s">
        <v>21</v>
      </c>
      <c r="AB10" s="127">
        <v>34</v>
      </c>
      <c r="AC10" s="6">
        <f t="shared" si="4"/>
        <v>3.8245219347581551E-2</v>
      </c>
    </row>
    <row r="11" spans="1:29" x14ac:dyDescent="0.3">
      <c r="A11" s="137"/>
      <c r="B11" s="122">
        <v>7</v>
      </c>
      <c r="C11" s="63" t="s">
        <v>25</v>
      </c>
      <c r="D11" s="79">
        <v>1451</v>
      </c>
      <c r="E11" s="6">
        <f t="shared" si="0"/>
        <v>2.1278155795401221E-2</v>
      </c>
      <c r="G11" s="137"/>
      <c r="H11" s="80">
        <v>7</v>
      </c>
      <c r="I11" s="63" t="s">
        <v>22</v>
      </c>
      <c r="J11" s="3">
        <v>315</v>
      </c>
      <c r="K11" s="6">
        <f t="shared" si="1"/>
        <v>3.4845132743362831E-2</v>
      </c>
      <c r="M11" s="132"/>
      <c r="N11" s="122">
        <v>7</v>
      </c>
      <c r="O11" s="63" t="s">
        <v>22</v>
      </c>
      <c r="P11" s="3">
        <v>154</v>
      </c>
      <c r="Q11" s="6">
        <f t="shared" si="2"/>
        <v>5.3695955369595538E-2</v>
      </c>
      <c r="S11" s="132"/>
      <c r="T11" s="122">
        <v>7</v>
      </c>
      <c r="U11" s="63" t="s">
        <v>24</v>
      </c>
      <c r="V11" s="127">
        <v>239</v>
      </c>
      <c r="W11" s="6">
        <f t="shared" si="3"/>
        <v>4.0854700854700852E-2</v>
      </c>
      <c r="Y11" s="132"/>
      <c r="Z11" s="122">
        <v>7</v>
      </c>
      <c r="AA11" s="63" t="s">
        <v>18</v>
      </c>
      <c r="AB11" s="127">
        <v>32</v>
      </c>
      <c r="AC11" s="6">
        <f t="shared" si="4"/>
        <v>3.59955005624297E-2</v>
      </c>
    </row>
    <row r="12" spans="1:29" x14ac:dyDescent="0.3">
      <c r="A12" s="137"/>
      <c r="B12" s="122">
        <v>8</v>
      </c>
      <c r="C12" s="63" t="s">
        <v>26</v>
      </c>
      <c r="D12" s="79">
        <v>1357</v>
      </c>
      <c r="E12" s="6">
        <f t="shared" si="0"/>
        <v>1.9899694978883154E-2</v>
      </c>
      <c r="G12" s="137"/>
      <c r="H12" s="80">
        <v>8</v>
      </c>
      <c r="I12" s="63" t="s">
        <v>21</v>
      </c>
      <c r="J12" s="3">
        <v>257</v>
      </c>
      <c r="K12" s="6">
        <f t="shared" si="1"/>
        <v>2.8429203539823009E-2</v>
      </c>
      <c r="M12" s="132"/>
      <c r="N12" s="122">
        <v>8</v>
      </c>
      <c r="O12" s="63" t="s">
        <v>27</v>
      </c>
      <c r="P12" s="3">
        <v>38</v>
      </c>
      <c r="Q12" s="6">
        <f t="shared" si="2"/>
        <v>1.3249651324965132E-2</v>
      </c>
      <c r="S12" s="132"/>
      <c r="T12" s="122">
        <v>8</v>
      </c>
      <c r="U12" s="63" t="s">
        <v>20</v>
      </c>
      <c r="V12" s="127">
        <v>238</v>
      </c>
      <c r="W12" s="6">
        <f t="shared" si="3"/>
        <v>4.0683760683760686E-2</v>
      </c>
      <c r="Y12" s="132"/>
      <c r="Z12" s="122">
        <v>8</v>
      </c>
      <c r="AA12" s="63" t="s">
        <v>28</v>
      </c>
      <c r="AB12" s="127">
        <v>25</v>
      </c>
      <c r="AC12" s="6">
        <f t="shared" si="4"/>
        <v>2.81214848143982E-2</v>
      </c>
    </row>
    <row r="13" spans="1:29" x14ac:dyDescent="0.3">
      <c r="A13" s="137"/>
      <c r="B13" s="122">
        <v>9</v>
      </c>
      <c r="C13" s="63" t="s">
        <v>29</v>
      </c>
      <c r="D13" s="79">
        <v>1205</v>
      </c>
      <c r="E13" s="6">
        <f t="shared" si="0"/>
        <v>1.7670694509619896E-2</v>
      </c>
      <c r="G13" s="137"/>
      <c r="H13" s="80">
        <v>9</v>
      </c>
      <c r="I13" s="63" t="s">
        <v>23</v>
      </c>
      <c r="J13" s="3">
        <v>254</v>
      </c>
      <c r="K13" s="6">
        <f t="shared" si="1"/>
        <v>2.8097345132743364E-2</v>
      </c>
      <c r="M13" s="132"/>
      <c r="N13" s="122">
        <v>9</v>
      </c>
      <c r="O13" s="63" t="s">
        <v>19</v>
      </c>
      <c r="P13" s="3">
        <v>101</v>
      </c>
      <c r="Q13" s="6">
        <f t="shared" si="2"/>
        <v>3.5216178521617854E-2</v>
      </c>
      <c r="S13" s="132"/>
      <c r="T13" s="122">
        <v>9</v>
      </c>
      <c r="U13" s="63" t="s">
        <v>30</v>
      </c>
      <c r="V13" s="127">
        <v>66</v>
      </c>
      <c r="W13" s="6">
        <f t="shared" si="3"/>
        <v>1.1282051282051283E-2</v>
      </c>
      <c r="Y13" s="132"/>
      <c r="Z13" s="122">
        <v>9</v>
      </c>
      <c r="AA13" s="63" t="s">
        <v>31</v>
      </c>
      <c r="AB13" s="127">
        <v>25</v>
      </c>
      <c r="AC13" s="6">
        <f t="shared" si="4"/>
        <v>2.81214848143982E-2</v>
      </c>
    </row>
    <row r="14" spans="1:29" x14ac:dyDescent="0.3">
      <c r="A14" s="137"/>
      <c r="B14" s="122">
        <v>10</v>
      </c>
      <c r="C14" s="63" t="s">
        <v>32</v>
      </c>
      <c r="D14" s="79">
        <v>1145</v>
      </c>
      <c r="E14" s="6">
        <f t="shared" si="0"/>
        <v>1.6790825903331769E-2</v>
      </c>
      <c r="G14" s="137"/>
      <c r="H14" s="80">
        <v>10</v>
      </c>
      <c r="I14" s="63" t="s">
        <v>28</v>
      </c>
      <c r="J14" s="3">
        <v>213</v>
      </c>
      <c r="K14" s="6">
        <f t="shared" si="1"/>
        <v>2.3561946902654868E-2</v>
      </c>
      <c r="M14" s="132"/>
      <c r="N14" s="122">
        <v>10</v>
      </c>
      <c r="O14" s="63" t="s">
        <v>31</v>
      </c>
      <c r="P14" s="3">
        <v>37</v>
      </c>
      <c r="Q14" s="6">
        <f t="shared" si="2"/>
        <v>1.290097629009763E-2</v>
      </c>
      <c r="S14" s="132"/>
      <c r="T14" s="122">
        <v>10</v>
      </c>
      <c r="U14" s="63" t="s">
        <v>31</v>
      </c>
      <c r="V14" s="127">
        <v>65</v>
      </c>
      <c r="W14" s="6">
        <f t="shared" si="3"/>
        <v>1.1111111111111112E-2</v>
      </c>
      <c r="Y14" s="132"/>
      <c r="Z14" s="122">
        <v>10</v>
      </c>
      <c r="AA14" s="63" t="s">
        <v>20</v>
      </c>
      <c r="AB14" s="127">
        <v>23</v>
      </c>
      <c r="AC14" s="6">
        <f t="shared" si="4"/>
        <v>2.5871766029246346E-2</v>
      </c>
    </row>
    <row r="15" spans="1:29" x14ac:dyDescent="0.3">
      <c r="A15" s="137"/>
      <c r="B15" s="122">
        <v>11</v>
      </c>
      <c r="C15" s="63" t="s">
        <v>33</v>
      </c>
      <c r="D15" s="79">
        <v>1099</v>
      </c>
      <c r="E15" s="6">
        <f t="shared" si="0"/>
        <v>1.6116259971844203E-2</v>
      </c>
      <c r="G15" s="137"/>
      <c r="H15" s="80">
        <v>11</v>
      </c>
      <c r="I15" s="63" t="s">
        <v>31</v>
      </c>
      <c r="J15" s="3">
        <v>191</v>
      </c>
      <c r="K15" s="6">
        <f t="shared" si="1"/>
        <v>2.1128318584070795E-2</v>
      </c>
      <c r="M15" s="132"/>
      <c r="N15" s="122">
        <v>11</v>
      </c>
      <c r="O15" s="63" t="s">
        <v>28</v>
      </c>
      <c r="P15" s="3">
        <v>53</v>
      </c>
      <c r="Q15" s="6">
        <f t="shared" si="2"/>
        <v>1.8479776847977684E-2</v>
      </c>
      <c r="S15" s="132"/>
      <c r="T15" s="122">
        <v>11</v>
      </c>
      <c r="U15" s="63" t="s">
        <v>34</v>
      </c>
      <c r="V15" s="127">
        <v>43</v>
      </c>
      <c r="W15" s="6">
        <f t="shared" si="3"/>
        <v>7.3504273504273509E-3</v>
      </c>
      <c r="Y15" s="132"/>
      <c r="Z15" s="122">
        <v>11</v>
      </c>
      <c r="AA15" s="63" t="s">
        <v>22</v>
      </c>
      <c r="AB15" s="127">
        <v>20</v>
      </c>
      <c r="AC15" s="6">
        <f t="shared" si="4"/>
        <v>2.2497187851518559E-2</v>
      </c>
    </row>
    <row r="16" spans="1:29" x14ac:dyDescent="0.3">
      <c r="A16" s="137"/>
      <c r="B16" s="122">
        <v>12</v>
      </c>
      <c r="C16" s="63" t="s">
        <v>34</v>
      </c>
      <c r="D16" s="79">
        <v>1090</v>
      </c>
      <c r="E16" s="6">
        <f t="shared" si="0"/>
        <v>1.5984279680900985E-2</v>
      </c>
      <c r="G16" s="137"/>
      <c r="H16" s="80">
        <v>12</v>
      </c>
      <c r="I16" s="63" t="s">
        <v>35</v>
      </c>
      <c r="J16" s="3">
        <v>174</v>
      </c>
      <c r="K16" s="6">
        <f t="shared" si="1"/>
        <v>1.924778761061947E-2</v>
      </c>
      <c r="M16" s="132"/>
      <c r="N16" s="122">
        <v>12</v>
      </c>
      <c r="O16" s="63" t="s">
        <v>26</v>
      </c>
      <c r="P16" s="3">
        <v>50</v>
      </c>
      <c r="Q16" s="6">
        <f t="shared" si="2"/>
        <v>1.7433751743375175E-2</v>
      </c>
      <c r="S16" s="132"/>
      <c r="T16" s="122">
        <v>12</v>
      </c>
      <c r="U16" s="63" t="s">
        <v>36</v>
      </c>
      <c r="V16" s="127">
        <v>36</v>
      </c>
      <c r="W16" s="6">
        <f t="shared" si="3"/>
        <v>6.1538461538461538E-3</v>
      </c>
      <c r="Y16" s="132"/>
      <c r="Z16" s="122">
        <v>12</v>
      </c>
      <c r="AA16" s="63" t="s">
        <v>37</v>
      </c>
      <c r="AB16" s="127">
        <v>11</v>
      </c>
      <c r="AC16" s="6">
        <f t="shared" si="4"/>
        <v>1.2373453318335208E-2</v>
      </c>
    </row>
    <row r="17" spans="1:29" x14ac:dyDescent="0.3">
      <c r="A17" s="137"/>
      <c r="B17" s="122">
        <v>13</v>
      </c>
      <c r="C17" s="63" t="s">
        <v>38</v>
      </c>
      <c r="D17" s="79">
        <v>926</v>
      </c>
      <c r="E17" s="6">
        <f t="shared" si="0"/>
        <v>1.3579305490380103E-2</v>
      </c>
      <c r="G17" s="137"/>
      <c r="H17" s="80">
        <v>13</v>
      </c>
      <c r="I17" s="63" t="s">
        <v>29</v>
      </c>
      <c r="J17" s="3">
        <v>160</v>
      </c>
      <c r="K17" s="6">
        <f t="shared" si="1"/>
        <v>1.7699115044247787E-2</v>
      </c>
      <c r="M17" s="132"/>
      <c r="N17" s="122">
        <v>13</v>
      </c>
      <c r="O17" s="63" t="s">
        <v>39</v>
      </c>
      <c r="P17" s="3">
        <v>31</v>
      </c>
      <c r="Q17" s="6">
        <f t="shared" si="2"/>
        <v>1.0808926080892609E-2</v>
      </c>
      <c r="S17" s="132"/>
      <c r="T17" s="122">
        <v>13</v>
      </c>
      <c r="U17" s="63" t="s">
        <v>40</v>
      </c>
      <c r="V17" s="127">
        <v>33</v>
      </c>
      <c r="W17" s="6">
        <f t="shared" si="3"/>
        <v>5.6410256410256415E-3</v>
      </c>
      <c r="Y17" s="132"/>
      <c r="Z17" s="122">
        <v>13</v>
      </c>
      <c r="AA17" s="63" t="s">
        <v>26</v>
      </c>
      <c r="AB17" s="127">
        <v>11</v>
      </c>
      <c r="AC17" s="6">
        <f t="shared" si="4"/>
        <v>1.2373453318335208E-2</v>
      </c>
    </row>
    <row r="18" spans="1:29" x14ac:dyDescent="0.3">
      <c r="A18" s="137"/>
      <c r="B18" s="122">
        <v>14</v>
      </c>
      <c r="C18" s="63" t="s">
        <v>19</v>
      </c>
      <c r="D18" s="79">
        <v>883</v>
      </c>
      <c r="E18" s="6">
        <f t="shared" si="0"/>
        <v>1.2948732989206945E-2</v>
      </c>
      <c r="G18" s="137"/>
      <c r="H18" s="80">
        <v>14</v>
      </c>
      <c r="I18" s="63" t="s">
        <v>25</v>
      </c>
      <c r="J18" s="3">
        <v>102</v>
      </c>
      <c r="K18" s="6">
        <f t="shared" si="1"/>
        <v>1.1283185840707964E-2</v>
      </c>
      <c r="M18" s="132"/>
      <c r="N18" s="122">
        <v>14</v>
      </c>
      <c r="O18" s="63" t="s">
        <v>24</v>
      </c>
      <c r="P18" s="3">
        <v>62</v>
      </c>
      <c r="Q18" s="6">
        <f t="shared" si="2"/>
        <v>2.1617852161785217E-2</v>
      </c>
      <c r="S18" s="132"/>
      <c r="T18" s="122">
        <v>14</v>
      </c>
      <c r="U18" s="63" t="s">
        <v>41</v>
      </c>
      <c r="V18" s="127">
        <v>31</v>
      </c>
      <c r="W18" s="6">
        <f t="shared" si="3"/>
        <v>5.2991452991452996E-3</v>
      </c>
      <c r="Y18" s="132"/>
      <c r="Z18" s="122">
        <v>14</v>
      </c>
      <c r="AA18" s="63" t="s">
        <v>41</v>
      </c>
      <c r="AB18" s="127">
        <v>10</v>
      </c>
      <c r="AC18" s="6">
        <f t="shared" si="4"/>
        <v>1.1248593925759279E-2</v>
      </c>
    </row>
    <row r="19" spans="1:29" x14ac:dyDescent="0.3">
      <c r="A19" s="137"/>
      <c r="B19" s="122">
        <v>15</v>
      </c>
      <c r="C19" s="63" t="s">
        <v>23</v>
      </c>
      <c r="D19" s="79">
        <v>690</v>
      </c>
      <c r="E19" s="6">
        <f t="shared" si="0"/>
        <v>1.0118488972313468E-2</v>
      </c>
      <c r="G19" s="137"/>
      <c r="H19" s="80">
        <v>15</v>
      </c>
      <c r="I19" s="63" t="s">
        <v>40</v>
      </c>
      <c r="J19" s="3">
        <v>99</v>
      </c>
      <c r="K19" s="6">
        <f t="shared" si="1"/>
        <v>1.0951327433628319E-2</v>
      </c>
      <c r="M19" s="132"/>
      <c r="N19" s="122">
        <v>15</v>
      </c>
      <c r="O19" s="63" t="s">
        <v>35</v>
      </c>
      <c r="P19" s="3">
        <v>26</v>
      </c>
      <c r="Q19" s="6">
        <f t="shared" si="2"/>
        <v>9.06555090655509E-3</v>
      </c>
      <c r="S19" s="132"/>
      <c r="T19" s="122">
        <v>15</v>
      </c>
      <c r="U19" s="63" t="s">
        <v>27</v>
      </c>
      <c r="V19" s="127">
        <v>30</v>
      </c>
      <c r="W19" s="6">
        <f t="shared" si="3"/>
        <v>5.1282051282051282E-3</v>
      </c>
      <c r="Y19" s="132"/>
      <c r="Z19" s="122">
        <v>15</v>
      </c>
      <c r="AA19" s="63" t="s">
        <v>29</v>
      </c>
      <c r="AB19" s="127">
        <v>8</v>
      </c>
      <c r="AC19" s="6">
        <f t="shared" si="4"/>
        <v>8.9988751406074249E-3</v>
      </c>
    </row>
    <row r="20" spans="1:29" x14ac:dyDescent="0.3">
      <c r="A20" s="137"/>
      <c r="B20" s="122">
        <v>16</v>
      </c>
      <c r="C20" s="63" t="s">
        <v>28</v>
      </c>
      <c r="D20" s="79">
        <v>652</v>
      </c>
      <c r="E20" s="6">
        <f t="shared" si="0"/>
        <v>9.561238854997654E-3</v>
      </c>
      <c r="G20" s="137"/>
      <c r="H20" s="80">
        <v>16</v>
      </c>
      <c r="I20" s="63" t="s">
        <v>34</v>
      </c>
      <c r="J20" s="3">
        <v>89</v>
      </c>
      <c r="K20" s="6">
        <f t="shared" si="1"/>
        <v>9.8451327433628326E-3</v>
      </c>
      <c r="M20" s="132"/>
      <c r="N20" s="122">
        <v>16</v>
      </c>
      <c r="O20" s="63" t="s">
        <v>29</v>
      </c>
      <c r="P20" s="3">
        <v>28</v>
      </c>
      <c r="Q20" s="6">
        <f t="shared" si="2"/>
        <v>9.7629009762900971E-3</v>
      </c>
      <c r="S20" s="132"/>
      <c r="T20" s="122">
        <v>16</v>
      </c>
      <c r="U20" s="63" t="s">
        <v>19</v>
      </c>
      <c r="V20" s="127">
        <v>24</v>
      </c>
      <c r="W20" s="6">
        <f t="shared" si="3"/>
        <v>4.1025641025641026E-3</v>
      </c>
      <c r="Y20" s="132"/>
      <c r="Z20" s="122">
        <v>16</v>
      </c>
      <c r="AA20" s="63" t="s">
        <v>34</v>
      </c>
      <c r="AB20" s="127">
        <v>7</v>
      </c>
      <c r="AC20" s="6">
        <f t="shared" si="4"/>
        <v>7.874015748031496E-3</v>
      </c>
    </row>
    <row r="21" spans="1:29" x14ac:dyDescent="0.3">
      <c r="A21" s="137"/>
      <c r="B21" s="122">
        <v>17</v>
      </c>
      <c r="C21" s="63" t="s">
        <v>35</v>
      </c>
      <c r="D21" s="79">
        <v>577</v>
      </c>
      <c r="E21" s="6">
        <f t="shared" si="0"/>
        <v>8.4614030971374935E-3</v>
      </c>
      <c r="G21" s="137"/>
      <c r="H21" s="80">
        <v>17</v>
      </c>
      <c r="I21" s="63" t="s">
        <v>32</v>
      </c>
      <c r="J21" s="3">
        <v>85</v>
      </c>
      <c r="K21" s="6">
        <f t="shared" si="1"/>
        <v>9.4026548672566379E-3</v>
      </c>
      <c r="M21" s="132"/>
      <c r="N21" s="122">
        <v>17</v>
      </c>
      <c r="O21" s="63" t="s">
        <v>40</v>
      </c>
      <c r="P21" s="3">
        <v>15</v>
      </c>
      <c r="Q21" s="6">
        <f t="shared" si="2"/>
        <v>5.2301255230125521E-3</v>
      </c>
      <c r="S21" s="132"/>
      <c r="T21" s="122">
        <v>17</v>
      </c>
      <c r="U21" s="63" t="s">
        <v>42</v>
      </c>
      <c r="V21" s="127">
        <v>21</v>
      </c>
      <c r="W21" s="6">
        <f t="shared" si="3"/>
        <v>3.5897435897435897E-3</v>
      </c>
      <c r="Y21" s="132"/>
      <c r="Z21" s="122">
        <v>17</v>
      </c>
      <c r="AA21" s="63" t="s">
        <v>43</v>
      </c>
      <c r="AB21" s="127">
        <v>6</v>
      </c>
      <c r="AC21" s="6">
        <f t="shared" si="4"/>
        <v>6.7491563554555678E-3</v>
      </c>
    </row>
    <row r="22" spans="1:29" x14ac:dyDescent="0.3">
      <c r="A22" s="137"/>
      <c r="B22" s="122">
        <v>18</v>
      </c>
      <c r="C22" s="63" t="s">
        <v>24</v>
      </c>
      <c r="D22" s="79">
        <v>574</v>
      </c>
      <c r="E22" s="6">
        <f t="shared" si="0"/>
        <v>8.417409666823087E-3</v>
      </c>
      <c r="G22" s="137"/>
      <c r="H22" s="80">
        <v>18</v>
      </c>
      <c r="I22" s="63" t="s">
        <v>41</v>
      </c>
      <c r="J22" s="3">
        <v>72</v>
      </c>
      <c r="K22" s="6">
        <f t="shared" si="1"/>
        <v>7.9646017699115043E-3</v>
      </c>
      <c r="M22" s="132"/>
      <c r="N22" s="122">
        <v>18</v>
      </c>
      <c r="O22" s="63" t="s">
        <v>41</v>
      </c>
      <c r="P22" s="3">
        <v>8</v>
      </c>
      <c r="Q22" s="6">
        <f t="shared" si="2"/>
        <v>2.7894002789400278E-3</v>
      </c>
      <c r="S22" s="132"/>
      <c r="T22" s="122">
        <v>18</v>
      </c>
      <c r="U22" s="63" t="s">
        <v>38</v>
      </c>
      <c r="V22" s="127">
        <v>19</v>
      </c>
      <c r="W22" s="6">
        <f t="shared" si="3"/>
        <v>3.2478632478632479E-3</v>
      </c>
      <c r="Y22" s="132"/>
      <c r="Z22" s="122">
        <v>18</v>
      </c>
      <c r="AA22" s="63" t="s">
        <v>44</v>
      </c>
      <c r="AB22" s="127">
        <v>6</v>
      </c>
      <c r="AC22" s="6">
        <f t="shared" si="4"/>
        <v>6.7491563554555678E-3</v>
      </c>
    </row>
    <row r="23" spans="1:29" x14ac:dyDescent="0.3">
      <c r="A23" s="137"/>
      <c r="B23" s="122">
        <v>19</v>
      </c>
      <c r="C23" s="63" t="s">
        <v>27</v>
      </c>
      <c r="D23" s="79">
        <v>559</v>
      </c>
      <c r="E23" s="6">
        <f t="shared" si="0"/>
        <v>8.1974425152510563E-3</v>
      </c>
      <c r="G23" s="137"/>
      <c r="H23" s="80">
        <v>19</v>
      </c>
      <c r="I23" s="63" t="s">
        <v>45</v>
      </c>
      <c r="J23" s="3">
        <v>58</v>
      </c>
      <c r="K23" s="6">
        <f t="shared" si="1"/>
        <v>6.4159292035398229E-3</v>
      </c>
      <c r="M23" s="132"/>
      <c r="N23" s="122">
        <v>19</v>
      </c>
      <c r="O23" s="63" t="s">
        <v>46</v>
      </c>
      <c r="P23" s="3">
        <v>6</v>
      </c>
      <c r="Q23" s="6">
        <f t="shared" si="2"/>
        <v>2.0920502092050207E-3</v>
      </c>
      <c r="S23" s="132"/>
      <c r="T23" s="122">
        <v>19</v>
      </c>
      <c r="U23" s="63" t="s">
        <v>32</v>
      </c>
      <c r="V23" s="127">
        <v>17</v>
      </c>
      <c r="W23" s="6">
        <f t="shared" si="3"/>
        <v>2.905982905982906E-3</v>
      </c>
      <c r="Y23" s="132"/>
      <c r="Z23" s="122">
        <v>19</v>
      </c>
      <c r="AA23" s="63" t="s">
        <v>40</v>
      </c>
      <c r="AB23" s="127">
        <v>5</v>
      </c>
      <c r="AC23" s="6">
        <f t="shared" si="4"/>
        <v>5.6242969628796397E-3</v>
      </c>
    </row>
    <row r="24" spans="1:29" x14ac:dyDescent="0.3">
      <c r="A24" s="137"/>
      <c r="B24" s="122">
        <v>20</v>
      </c>
      <c r="C24" s="63" t="s">
        <v>45</v>
      </c>
      <c r="D24" s="79">
        <v>527</v>
      </c>
      <c r="E24" s="6">
        <f t="shared" si="0"/>
        <v>7.7281792585640547E-3</v>
      </c>
      <c r="G24" s="137"/>
      <c r="H24" s="80">
        <v>20</v>
      </c>
      <c r="I24" s="63" t="s">
        <v>27</v>
      </c>
      <c r="J24" s="3">
        <v>43</v>
      </c>
      <c r="K24" s="6">
        <f t="shared" si="1"/>
        <v>4.7566371681415929E-3</v>
      </c>
      <c r="M24" s="132"/>
      <c r="N24" s="122">
        <v>20</v>
      </c>
      <c r="O24" s="63" t="s">
        <v>36</v>
      </c>
      <c r="P24" s="3">
        <v>8</v>
      </c>
      <c r="Q24" s="6">
        <f t="shared" si="2"/>
        <v>2.7894002789400278E-3</v>
      </c>
      <c r="S24" s="132"/>
      <c r="T24" s="122">
        <v>20</v>
      </c>
      <c r="U24" s="63" t="s">
        <v>47</v>
      </c>
      <c r="V24" s="127">
        <v>16</v>
      </c>
      <c r="W24" s="6">
        <f t="shared" si="3"/>
        <v>2.735042735042735E-3</v>
      </c>
      <c r="Y24" s="132"/>
      <c r="Z24" s="122">
        <v>20</v>
      </c>
      <c r="AA24" s="63" t="s">
        <v>32</v>
      </c>
      <c r="AB24" s="127">
        <v>4</v>
      </c>
      <c r="AC24" s="6">
        <f t="shared" si="4"/>
        <v>4.4994375703037125E-3</v>
      </c>
    </row>
    <row r="25" spans="1:29" x14ac:dyDescent="0.3">
      <c r="A25" s="137"/>
      <c r="B25" s="122">
        <v>21</v>
      </c>
      <c r="C25" s="63" t="s">
        <v>41</v>
      </c>
      <c r="D25" s="79">
        <v>410</v>
      </c>
      <c r="E25" s="6">
        <f t="shared" si="0"/>
        <v>6.0124354763022051E-3</v>
      </c>
      <c r="G25" s="137"/>
      <c r="H25" s="80">
        <v>21</v>
      </c>
      <c r="I25" s="63" t="s">
        <v>33</v>
      </c>
      <c r="J25" s="3">
        <v>39</v>
      </c>
      <c r="K25" s="6">
        <f t="shared" si="1"/>
        <v>4.3141592920353982E-3</v>
      </c>
      <c r="M25" s="132"/>
      <c r="N25" s="122">
        <v>21</v>
      </c>
      <c r="O25" s="63" t="s">
        <v>38</v>
      </c>
      <c r="P25" s="3">
        <v>9</v>
      </c>
      <c r="Q25" s="6">
        <f t="shared" si="2"/>
        <v>3.1380753138075313E-3</v>
      </c>
      <c r="S25" s="132"/>
      <c r="T25" s="122">
        <v>21</v>
      </c>
      <c r="U25" s="63" t="s">
        <v>48</v>
      </c>
      <c r="V25" s="127">
        <v>16</v>
      </c>
      <c r="W25" s="6">
        <f t="shared" si="3"/>
        <v>2.735042735042735E-3</v>
      </c>
      <c r="Y25" s="132"/>
      <c r="Z25" s="122">
        <v>21</v>
      </c>
      <c r="AA25" s="63" t="s">
        <v>49</v>
      </c>
      <c r="AB25" s="127">
        <v>4</v>
      </c>
      <c r="AC25" s="6">
        <f t="shared" si="4"/>
        <v>4.4994375703037125E-3</v>
      </c>
    </row>
    <row r="26" spans="1:29" x14ac:dyDescent="0.3">
      <c r="A26" s="137"/>
      <c r="B26" s="122">
        <v>22</v>
      </c>
      <c r="C26" s="63" t="s">
        <v>50</v>
      </c>
      <c r="D26" s="3">
        <v>385</v>
      </c>
      <c r="E26" s="6">
        <f t="shared" si="0"/>
        <v>5.6458235570154853E-3</v>
      </c>
      <c r="G26" s="137"/>
      <c r="H26" s="80">
        <v>22</v>
      </c>
      <c r="I26" s="63" t="s">
        <v>50</v>
      </c>
      <c r="J26" s="3">
        <v>38</v>
      </c>
      <c r="K26" s="6">
        <f t="shared" si="1"/>
        <v>4.2035398230088495E-3</v>
      </c>
      <c r="M26" s="132"/>
      <c r="N26" s="122">
        <v>22</v>
      </c>
      <c r="O26" s="63" t="s">
        <v>43</v>
      </c>
      <c r="P26" s="3">
        <v>12</v>
      </c>
      <c r="Q26" s="6">
        <f t="shared" si="2"/>
        <v>4.1841004184100415E-3</v>
      </c>
      <c r="S26" s="132"/>
      <c r="T26" s="122">
        <v>22</v>
      </c>
      <c r="U26" s="1" t="s">
        <v>51</v>
      </c>
      <c r="V26" s="127">
        <v>15</v>
      </c>
      <c r="W26" s="6">
        <f t="shared" si="3"/>
        <v>2.5641025641025641E-3</v>
      </c>
      <c r="Y26" s="132"/>
      <c r="Z26" s="122">
        <v>22</v>
      </c>
      <c r="AA26" s="63" t="s">
        <v>52</v>
      </c>
      <c r="AB26" s="3">
        <v>4</v>
      </c>
      <c r="AC26" s="6">
        <f t="shared" si="4"/>
        <v>4.4994375703037125E-3</v>
      </c>
    </row>
    <row r="27" spans="1:29" x14ac:dyDescent="0.3">
      <c r="A27" s="137"/>
      <c r="B27" s="122">
        <v>23</v>
      </c>
      <c r="C27" s="63" t="s">
        <v>53</v>
      </c>
      <c r="D27" s="3">
        <v>363</v>
      </c>
      <c r="E27" s="6">
        <f t="shared" si="0"/>
        <v>5.3232050680431719E-3</v>
      </c>
      <c r="G27" s="137"/>
      <c r="H27" s="80">
        <v>23</v>
      </c>
      <c r="I27" s="63" t="s">
        <v>51</v>
      </c>
      <c r="J27" s="3">
        <v>37</v>
      </c>
      <c r="K27" s="6">
        <f t="shared" si="1"/>
        <v>4.0929203539823008E-3</v>
      </c>
      <c r="M27" s="132"/>
      <c r="N27" s="122">
        <v>23</v>
      </c>
      <c r="O27" s="63" t="s">
        <v>51</v>
      </c>
      <c r="P27" s="3">
        <v>10</v>
      </c>
      <c r="Q27" s="6">
        <f t="shared" si="2"/>
        <v>3.4867503486750349E-3</v>
      </c>
      <c r="S27" s="132"/>
      <c r="T27" s="122">
        <v>23</v>
      </c>
      <c r="U27" s="63" t="s">
        <v>54</v>
      </c>
      <c r="V27" s="3">
        <v>14</v>
      </c>
      <c r="W27" s="6">
        <f t="shared" si="3"/>
        <v>2.3931623931623932E-3</v>
      </c>
      <c r="Y27" s="132"/>
      <c r="Z27" s="122">
        <v>23</v>
      </c>
      <c r="AA27" s="63" t="s">
        <v>55</v>
      </c>
      <c r="AB27" s="3">
        <v>4</v>
      </c>
      <c r="AC27" s="6">
        <f t="shared" si="4"/>
        <v>4.4994375703037125E-3</v>
      </c>
    </row>
    <row r="28" spans="1:29" x14ac:dyDescent="0.3">
      <c r="A28" s="137"/>
      <c r="B28" s="122">
        <v>24</v>
      </c>
      <c r="C28" s="63" t="s">
        <v>43</v>
      </c>
      <c r="D28" s="3">
        <v>361</v>
      </c>
      <c r="E28" s="6">
        <f t="shared" si="0"/>
        <v>5.2938761145002343E-3</v>
      </c>
      <c r="G28" s="137"/>
      <c r="H28" s="80">
        <v>24</v>
      </c>
      <c r="I28" s="63" t="s">
        <v>43</v>
      </c>
      <c r="J28" s="3">
        <v>37</v>
      </c>
      <c r="K28" s="6">
        <f t="shared" si="1"/>
        <v>4.0929203539823008E-3</v>
      </c>
      <c r="M28" s="132"/>
      <c r="N28" s="122">
        <v>24</v>
      </c>
      <c r="O28" s="63" t="s">
        <v>56</v>
      </c>
      <c r="P28" s="3">
        <v>14</v>
      </c>
      <c r="Q28" s="6">
        <f t="shared" si="2"/>
        <v>4.8814504881450485E-3</v>
      </c>
      <c r="S28" s="132"/>
      <c r="T28" s="122">
        <v>24</v>
      </c>
      <c r="U28" s="63" t="s">
        <v>57</v>
      </c>
      <c r="V28" s="3">
        <v>14</v>
      </c>
      <c r="W28" s="6">
        <f t="shared" si="3"/>
        <v>2.3931623931623932E-3</v>
      </c>
      <c r="Y28" s="132"/>
      <c r="Z28" s="122">
        <v>24</v>
      </c>
      <c r="AA28" s="63" t="s">
        <v>48</v>
      </c>
      <c r="AB28" s="3">
        <v>3</v>
      </c>
      <c r="AC28" s="6">
        <f t="shared" si="4"/>
        <v>3.3745781777277839E-3</v>
      </c>
    </row>
    <row r="29" spans="1:29" x14ac:dyDescent="0.3">
      <c r="A29" s="137"/>
      <c r="B29" s="122">
        <v>25</v>
      </c>
      <c r="C29" s="63" t="s">
        <v>48</v>
      </c>
      <c r="D29" s="3">
        <v>336</v>
      </c>
      <c r="E29" s="6">
        <f t="shared" si="0"/>
        <v>4.9272641952135144E-3</v>
      </c>
      <c r="G29" s="137"/>
      <c r="H29" s="80">
        <v>25</v>
      </c>
      <c r="I29" s="63" t="s">
        <v>58</v>
      </c>
      <c r="J29" s="3">
        <v>33</v>
      </c>
      <c r="K29" s="6">
        <f t="shared" si="1"/>
        <v>3.6504424778761061E-3</v>
      </c>
      <c r="M29" s="132"/>
      <c r="N29" s="122">
        <v>25</v>
      </c>
      <c r="O29" s="63" t="s">
        <v>37</v>
      </c>
      <c r="P29" s="3">
        <v>7</v>
      </c>
      <c r="Q29" s="6">
        <f t="shared" si="2"/>
        <v>2.4407252440725243E-3</v>
      </c>
      <c r="S29" s="132"/>
      <c r="T29" s="122">
        <v>25</v>
      </c>
      <c r="U29" s="63" t="s">
        <v>59</v>
      </c>
      <c r="V29" s="3">
        <v>12</v>
      </c>
      <c r="W29" s="6">
        <f t="shared" si="3"/>
        <v>2.0512820512820513E-3</v>
      </c>
      <c r="Y29" s="132"/>
      <c r="Z29" s="122">
        <v>25</v>
      </c>
      <c r="AA29" s="63" t="s">
        <v>60</v>
      </c>
      <c r="AB29" s="3">
        <v>3</v>
      </c>
      <c r="AC29" s="6">
        <f t="shared" si="4"/>
        <v>3.3745781777277839E-3</v>
      </c>
    </row>
    <row r="30" spans="1:29" x14ac:dyDescent="0.3">
      <c r="A30" s="137"/>
      <c r="B30" s="135"/>
      <c r="C30" s="63" t="s">
        <v>61</v>
      </c>
      <c r="D30" s="64">
        <f>D31-SUM(D5:D29)</f>
        <v>22952</v>
      </c>
      <c r="E30" s="6">
        <f>D30/$D$31</f>
        <v>0.33657907085875177</v>
      </c>
      <c r="G30" s="137"/>
      <c r="H30" s="135"/>
      <c r="I30" s="63" t="s">
        <v>61</v>
      </c>
      <c r="J30" s="64">
        <f>J31-SUM(J5:J29)</f>
        <v>723</v>
      </c>
      <c r="K30" s="6">
        <f>$J30/$J$31</f>
        <v>7.9977876106194695E-2</v>
      </c>
      <c r="M30" s="132"/>
      <c r="N30" s="122">
        <v>26</v>
      </c>
      <c r="O30" s="63" t="s">
        <v>32</v>
      </c>
      <c r="P30" s="3">
        <v>14</v>
      </c>
      <c r="Q30" s="6">
        <f t="shared" si="2"/>
        <v>4.8814504881450485E-3</v>
      </c>
      <c r="S30" s="132"/>
      <c r="T30" s="133"/>
      <c r="U30" s="63" t="s">
        <v>61</v>
      </c>
      <c r="V30" s="64">
        <f>$V$31-SUM(V5:V29)</f>
        <v>245</v>
      </c>
      <c r="W30" s="6">
        <f>$V30/$V$31</f>
        <v>4.1880341880341877E-2</v>
      </c>
      <c r="Y30" s="132"/>
      <c r="Z30" s="133"/>
      <c r="AA30" s="63" t="s">
        <v>61</v>
      </c>
      <c r="AB30" s="64">
        <f>$AB$31-SUM(AB5:AB29)</f>
        <v>194</v>
      </c>
      <c r="AC30" s="6">
        <f>$AB30/$AB$31</f>
        <v>0.21822272215973004</v>
      </c>
    </row>
    <row r="31" spans="1:29" x14ac:dyDescent="0.3">
      <c r="A31" s="137"/>
      <c r="B31" s="136"/>
      <c r="C31" s="8" t="s">
        <v>62</v>
      </c>
      <c r="D31" s="9">
        <v>68192</v>
      </c>
      <c r="E31" s="10">
        <f>SUM(E5:E30)</f>
        <v>1.0000000000000002</v>
      </c>
      <c r="G31" s="137"/>
      <c r="H31" s="136"/>
      <c r="I31" s="8" t="s">
        <v>62</v>
      </c>
      <c r="J31" s="9">
        <v>9040</v>
      </c>
      <c r="K31" s="10">
        <f>SUM(K5:K30)</f>
        <v>1.0000000000000004</v>
      </c>
      <c r="M31" s="132"/>
      <c r="N31" s="122">
        <v>27</v>
      </c>
      <c r="O31" s="63" t="s">
        <v>63</v>
      </c>
      <c r="P31" s="3">
        <v>3</v>
      </c>
      <c r="Q31" s="6">
        <f t="shared" si="2"/>
        <v>1.0460251046025104E-3</v>
      </c>
      <c r="S31" s="132"/>
      <c r="T31" s="133"/>
      <c r="U31" s="8" t="s">
        <v>62</v>
      </c>
      <c r="V31" s="9">
        <v>5850</v>
      </c>
      <c r="W31" s="10">
        <f>SUM(W5:W30)</f>
        <v>1.0000000000000002</v>
      </c>
      <c r="Y31" s="132"/>
      <c r="Z31" s="133"/>
      <c r="AA31" s="8" t="s">
        <v>62</v>
      </c>
      <c r="AB31" s="9">
        <v>889</v>
      </c>
      <c r="AC31" s="10">
        <f>SUM(AC5:AC30)</f>
        <v>0.99999999999999989</v>
      </c>
    </row>
    <row r="32" spans="1:29" x14ac:dyDescent="0.3">
      <c r="M32" s="132"/>
      <c r="N32" s="122">
        <v>28</v>
      </c>
      <c r="O32" s="63" t="s">
        <v>64</v>
      </c>
      <c r="P32" s="3">
        <v>4</v>
      </c>
      <c r="Q32" s="6">
        <f t="shared" si="2"/>
        <v>1.3947001394700139E-3</v>
      </c>
      <c r="S32" s="67"/>
      <c r="T32" s="65"/>
      <c r="V32" s="126"/>
      <c r="W32" s="66"/>
    </row>
    <row r="33" spans="13:23" x14ac:dyDescent="0.3">
      <c r="M33" s="132"/>
      <c r="N33" s="122">
        <v>29</v>
      </c>
      <c r="O33" s="63" t="s">
        <v>30</v>
      </c>
      <c r="P33" s="3">
        <v>2</v>
      </c>
      <c r="Q33" s="6">
        <f t="shared" si="2"/>
        <v>6.9735006973500695E-4</v>
      </c>
      <c r="S33" s="67"/>
      <c r="T33" s="65"/>
      <c r="V33" s="126"/>
      <c r="W33" s="66"/>
    </row>
    <row r="34" spans="13:23" x14ac:dyDescent="0.3">
      <c r="M34" s="132"/>
      <c r="N34" s="122">
        <v>30</v>
      </c>
      <c r="O34" s="63" t="s">
        <v>33</v>
      </c>
      <c r="P34" s="3">
        <v>13</v>
      </c>
      <c r="Q34" s="6">
        <f t="shared" si="2"/>
        <v>4.532775453277545E-3</v>
      </c>
      <c r="S34" s="67"/>
      <c r="T34" s="65"/>
      <c r="V34" s="126"/>
      <c r="W34" s="66"/>
    </row>
    <row r="35" spans="13:23" x14ac:dyDescent="0.3">
      <c r="M35" s="132"/>
      <c r="N35" s="122">
        <v>31</v>
      </c>
      <c r="O35" s="63" t="s">
        <v>59</v>
      </c>
      <c r="P35" s="3">
        <v>5</v>
      </c>
      <c r="Q35" s="6">
        <f t="shared" si="2"/>
        <v>1.7433751743375174E-3</v>
      </c>
      <c r="S35" s="67"/>
      <c r="T35" s="65"/>
      <c r="V35" s="126"/>
      <c r="W35" s="66"/>
    </row>
    <row r="36" spans="13:23" x14ac:dyDescent="0.3">
      <c r="M36" s="132"/>
      <c r="N36" s="122">
        <v>32</v>
      </c>
      <c r="O36" s="63" t="s">
        <v>65</v>
      </c>
      <c r="P36" s="3">
        <v>5</v>
      </c>
      <c r="Q36" s="6">
        <f t="shared" si="2"/>
        <v>1.7433751743375174E-3</v>
      </c>
      <c r="S36" s="67"/>
      <c r="T36" s="65"/>
      <c r="V36" s="126"/>
      <c r="W36" s="66"/>
    </row>
    <row r="37" spans="13:23" x14ac:dyDescent="0.3">
      <c r="M37" s="132"/>
      <c r="N37" s="122">
        <v>33</v>
      </c>
      <c r="O37" s="63" t="s">
        <v>66</v>
      </c>
      <c r="P37" s="3">
        <v>4</v>
      </c>
      <c r="Q37" s="6">
        <f t="shared" ref="Q37:Q57" si="5">$P37/$P$58</f>
        <v>1.3947001394700139E-3</v>
      </c>
      <c r="S37" s="67"/>
      <c r="T37" s="65"/>
      <c r="V37" s="126"/>
      <c r="W37" s="66"/>
    </row>
    <row r="38" spans="13:23" x14ac:dyDescent="0.3">
      <c r="M38" s="132"/>
      <c r="N38" s="122">
        <v>34</v>
      </c>
      <c r="O38" s="63" t="s">
        <v>67</v>
      </c>
      <c r="P38" s="3">
        <v>2</v>
      </c>
      <c r="Q38" s="6">
        <f t="shared" si="5"/>
        <v>6.9735006973500695E-4</v>
      </c>
      <c r="S38" s="67"/>
      <c r="T38" s="65"/>
      <c r="V38" s="126"/>
      <c r="W38" s="66"/>
    </row>
    <row r="39" spans="13:23" x14ac:dyDescent="0.3">
      <c r="M39" s="132"/>
      <c r="N39" s="122">
        <v>35</v>
      </c>
      <c r="O39" s="63" t="s">
        <v>52</v>
      </c>
      <c r="P39" s="3">
        <v>12</v>
      </c>
      <c r="Q39" s="6">
        <f t="shared" si="5"/>
        <v>4.1841004184100415E-3</v>
      </c>
      <c r="S39" s="67"/>
      <c r="T39" s="65"/>
      <c r="V39" s="126"/>
      <c r="W39" s="66"/>
    </row>
    <row r="40" spans="13:23" x14ac:dyDescent="0.3">
      <c r="M40" s="132"/>
      <c r="N40" s="122">
        <v>36</v>
      </c>
      <c r="O40" s="63" t="s">
        <v>42</v>
      </c>
      <c r="P40" s="3">
        <v>1</v>
      </c>
      <c r="Q40" s="6">
        <f t="shared" si="5"/>
        <v>3.4867503486750347E-4</v>
      </c>
      <c r="S40" s="67"/>
      <c r="T40" s="65"/>
      <c r="V40" s="126"/>
      <c r="W40" s="66"/>
    </row>
    <row r="41" spans="13:23" x14ac:dyDescent="0.3">
      <c r="M41" s="132"/>
      <c r="N41" s="122">
        <v>37</v>
      </c>
      <c r="O41" s="63" t="s">
        <v>50</v>
      </c>
      <c r="P41" s="3">
        <v>3</v>
      </c>
      <c r="Q41" s="6">
        <f t="shared" si="5"/>
        <v>1.0460251046025104E-3</v>
      </c>
      <c r="S41" s="67"/>
      <c r="T41" s="65"/>
      <c r="V41" s="126"/>
      <c r="W41" s="66"/>
    </row>
    <row r="42" spans="13:23" x14ac:dyDescent="0.3">
      <c r="M42" s="132"/>
      <c r="N42" s="122">
        <v>38</v>
      </c>
      <c r="O42" s="63" t="s">
        <v>68</v>
      </c>
      <c r="P42" s="3">
        <v>6</v>
      </c>
      <c r="Q42" s="6">
        <f t="shared" si="5"/>
        <v>2.0920502092050207E-3</v>
      </c>
      <c r="S42" s="67"/>
      <c r="T42" s="65"/>
      <c r="V42" s="126"/>
      <c r="W42" s="66"/>
    </row>
    <row r="43" spans="13:23" x14ac:dyDescent="0.3">
      <c r="M43" s="132"/>
      <c r="N43" s="122">
        <v>39</v>
      </c>
      <c r="O43" s="63" t="s">
        <v>69</v>
      </c>
      <c r="P43" s="3">
        <v>3</v>
      </c>
      <c r="Q43" s="6">
        <f t="shared" si="5"/>
        <v>1.0460251046025104E-3</v>
      </c>
      <c r="S43" s="67"/>
      <c r="T43" s="65"/>
      <c r="V43" s="126"/>
      <c r="W43" s="66"/>
    </row>
    <row r="44" spans="13:23" x14ac:dyDescent="0.3">
      <c r="M44" s="132"/>
      <c r="N44" s="122">
        <v>40</v>
      </c>
      <c r="O44" s="63" t="s">
        <v>70</v>
      </c>
      <c r="P44" s="3">
        <v>2</v>
      </c>
      <c r="Q44" s="6">
        <f t="shared" si="5"/>
        <v>6.9735006973500695E-4</v>
      </c>
      <c r="S44" s="67"/>
      <c r="T44" s="65"/>
      <c r="V44" s="126"/>
      <c r="W44" s="66"/>
    </row>
    <row r="45" spans="13:23" x14ac:dyDescent="0.3">
      <c r="M45" s="132"/>
      <c r="N45" s="122">
        <v>41</v>
      </c>
      <c r="O45" s="63" t="s">
        <v>54</v>
      </c>
      <c r="P45" s="3">
        <v>1</v>
      </c>
      <c r="Q45" s="6">
        <f t="shared" si="5"/>
        <v>3.4867503486750347E-4</v>
      </c>
      <c r="S45" s="67"/>
      <c r="T45" s="65"/>
      <c r="V45" s="126"/>
      <c r="W45" s="66"/>
    </row>
    <row r="46" spans="13:23" x14ac:dyDescent="0.3">
      <c r="M46" s="132"/>
      <c r="N46" s="122">
        <v>42</v>
      </c>
      <c r="O46" s="63" t="s">
        <v>71</v>
      </c>
      <c r="P46" s="3">
        <v>1</v>
      </c>
      <c r="Q46" s="6">
        <f t="shared" si="5"/>
        <v>3.4867503486750347E-4</v>
      </c>
      <c r="S46" s="67"/>
      <c r="T46" s="65"/>
      <c r="V46" s="126"/>
      <c r="W46" s="66"/>
    </row>
    <row r="47" spans="13:23" x14ac:dyDescent="0.3">
      <c r="M47" s="132"/>
      <c r="N47" s="122">
        <v>43</v>
      </c>
      <c r="O47" s="63" t="s">
        <v>72</v>
      </c>
      <c r="P47" s="3">
        <v>1</v>
      </c>
      <c r="Q47" s="6">
        <f t="shared" si="5"/>
        <v>3.4867503486750347E-4</v>
      </c>
      <c r="S47" s="67"/>
      <c r="T47" s="65"/>
      <c r="V47" s="126"/>
      <c r="W47" s="66"/>
    </row>
    <row r="48" spans="13:23" x14ac:dyDescent="0.3">
      <c r="M48" s="132"/>
      <c r="N48" s="122">
        <v>44</v>
      </c>
      <c r="O48" s="63" t="s">
        <v>73</v>
      </c>
      <c r="P48" s="3">
        <v>1</v>
      </c>
      <c r="Q48" s="6">
        <f t="shared" si="5"/>
        <v>3.4867503486750347E-4</v>
      </c>
      <c r="S48" s="67"/>
      <c r="T48" s="65"/>
      <c r="V48" s="126"/>
      <c r="W48" s="66"/>
    </row>
    <row r="49" spans="13:23" x14ac:dyDescent="0.3">
      <c r="M49" s="132"/>
      <c r="N49" s="122">
        <v>45</v>
      </c>
      <c r="O49" s="63" t="s">
        <v>74</v>
      </c>
      <c r="P49" s="3">
        <v>6</v>
      </c>
      <c r="Q49" s="6">
        <f t="shared" si="5"/>
        <v>2.0920502092050207E-3</v>
      </c>
      <c r="S49" s="67"/>
      <c r="T49" s="65"/>
      <c r="V49" s="126"/>
      <c r="W49" s="66"/>
    </row>
    <row r="50" spans="13:23" x14ac:dyDescent="0.3">
      <c r="M50" s="132"/>
      <c r="N50" s="122">
        <v>46</v>
      </c>
      <c r="O50" s="63" t="s">
        <v>75</v>
      </c>
      <c r="P50" s="3">
        <v>5</v>
      </c>
      <c r="Q50" s="6">
        <f t="shared" si="5"/>
        <v>1.7433751743375174E-3</v>
      </c>
      <c r="S50" s="67"/>
      <c r="T50" s="65"/>
      <c r="V50" s="126"/>
      <c r="W50" s="66"/>
    </row>
    <row r="51" spans="13:23" x14ac:dyDescent="0.3">
      <c r="M51" s="132"/>
      <c r="N51" s="122">
        <v>47</v>
      </c>
      <c r="O51" s="63" t="s">
        <v>76</v>
      </c>
      <c r="P51" s="3">
        <v>2</v>
      </c>
      <c r="Q51" s="6">
        <f t="shared" si="5"/>
        <v>6.9735006973500695E-4</v>
      </c>
      <c r="S51" s="67"/>
      <c r="T51" s="65"/>
      <c r="V51" s="126"/>
      <c r="W51" s="66"/>
    </row>
    <row r="52" spans="13:23" x14ac:dyDescent="0.3">
      <c r="M52" s="132"/>
      <c r="N52" s="122">
        <v>48</v>
      </c>
      <c r="O52" s="63" t="s">
        <v>77</v>
      </c>
      <c r="P52" s="3">
        <v>1</v>
      </c>
      <c r="Q52" s="6">
        <f t="shared" si="5"/>
        <v>3.4867503486750347E-4</v>
      </c>
      <c r="S52" s="67"/>
      <c r="T52" s="65"/>
      <c r="V52" s="126"/>
      <c r="W52" s="66"/>
    </row>
    <row r="53" spans="13:23" x14ac:dyDescent="0.3">
      <c r="M53" s="132"/>
      <c r="N53" s="122">
        <v>49</v>
      </c>
      <c r="O53" s="63" t="s">
        <v>78</v>
      </c>
      <c r="P53" s="3">
        <v>1</v>
      </c>
      <c r="Q53" s="6">
        <f t="shared" si="5"/>
        <v>3.4867503486750347E-4</v>
      </c>
      <c r="S53" s="67"/>
      <c r="T53" s="65"/>
      <c r="V53" s="126"/>
      <c r="W53" s="66"/>
    </row>
    <row r="54" spans="13:23" x14ac:dyDescent="0.3">
      <c r="M54" s="132"/>
      <c r="N54" s="122">
        <v>50</v>
      </c>
      <c r="O54" s="63" t="s">
        <v>49</v>
      </c>
      <c r="P54" s="3">
        <v>5</v>
      </c>
      <c r="Q54" s="6">
        <f t="shared" si="5"/>
        <v>1.7433751743375174E-3</v>
      </c>
      <c r="S54" s="67"/>
      <c r="T54" s="65"/>
      <c r="V54" s="126"/>
      <c r="W54" s="66"/>
    </row>
    <row r="55" spans="13:23" x14ac:dyDescent="0.3">
      <c r="M55" s="132"/>
      <c r="N55" s="122">
        <v>51</v>
      </c>
      <c r="O55" s="63" t="s">
        <v>25</v>
      </c>
      <c r="P55" s="3">
        <v>4</v>
      </c>
      <c r="Q55" s="6">
        <f t="shared" si="5"/>
        <v>1.3947001394700139E-3</v>
      </c>
      <c r="S55" s="67"/>
      <c r="T55" s="65"/>
      <c r="V55" s="126"/>
      <c r="W55" s="66"/>
    </row>
    <row r="56" spans="13:23" x14ac:dyDescent="0.3">
      <c r="M56" s="132"/>
      <c r="N56" s="122">
        <v>52</v>
      </c>
      <c r="O56" s="63" t="s">
        <v>48</v>
      </c>
      <c r="P56" s="3">
        <v>1</v>
      </c>
      <c r="Q56" s="6">
        <f t="shared" si="5"/>
        <v>3.4867503486750347E-4</v>
      </c>
      <c r="S56" s="67"/>
      <c r="T56" s="65"/>
      <c r="V56" s="126"/>
      <c r="W56" s="66"/>
    </row>
    <row r="57" spans="13:23" x14ac:dyDescent="0.3">
      <c r="M57" s="132"/>
      <c r="N57" s="122">
        <v>53</v>
      </c>
      <c r="O57" s="63" t="s">
        <v>79</v>
      </c>
      <c r="P57" s="3">
        <v>1</v>
      </c>
      <c r="Q57" s="6">
        <f t="shared" si="5"/>
        <v>3.4867503486750347E-4</v>
      </c>
      <c r="S57" s="67"/>
      <c r="T57" s="65"/>
      <c r="V57" s="126"/>
      <c r="W57" s="66"/>
    </row>
    <row r="58" spans="13:23" x14ac:dyDescent="0.3">
      <c r="M58" s="132"/>
      <c r="N58" s="123"/>
      <c r="O58" s="8" t="s">
        <v>62</v>
      </c>
      <c r="P58" s="9">
        <f>SUM(P5:P57)</f>
        <v>2868</v>
      </c>
      <c r="Q58" s="10">
        <v>1</v>
      </c>
      <c r="S58" s="67"/>
      <c r="T58" s="65"/>
      <c r="V58" s="126"/>
      <c r="W58" s="66"/>
    </row>
  </sheetData>
  <mergeCells count="29">
    <mergeCell ref="G2:K2"/>
    <mergeCell ref="G3:G31"/>
    <mergeCell ref="H3:H4"/>
    <mergeCell ref="I3:I4"/>
    <mergeCell ref="J3:K3"/>
    <mergeCell ref="H30:H31"/>
    <mergeCell ref="A2:E2"/>
    <mergeCell ref="B30:B31"/>
    <mergeCell ref="C3:C4"/>
    <mergeCell ref="D3:E3"/>
    <mergeCell ref="A3:A31"/>
    <mergeCell ref="B3:B4"/>
    <mergeCell ref="M3:M58"/>
    <mergeCell ref="S2:W2"/>
    <mergeCell ref="T3:T4"/>
    <mergeCell ref="U3:U4"/>
    <mergeCell ref="V3:W3"/>
    <mergeCell ref="T30:T31"/>
    <mergeCell ref="S3:S31"/>
    <mergeCell ref="M2:Q2"/>
    <mergeCell ref="N3:N4"/>
    <mergeCell ref="O3:O4"/>
    <mergeCell ref="P3:Q3"/>
    <mergeCell ref="Y2:AC2"/>
    <mergeCell ref="Y3:Y31"/>
    <mergeCell ref="Z3:Z4"/>
    <mergeCell ref="AA3:AA4"/>
    <mergeCell ref="AB3:AC3"/>
    <mergeCell ref="Z30:Z31"/>
  </mergeCells>
  <hyperlinks>
    <hyperlink ref="G3:G31" r:id="rId1" display="Source: Ethereum Mainnet Statistics (2025). Consensus Layer Countries. [Access: 07.11.2025]; [Online-available: https://www.ethernodes.org/countries]" xr:uid="{DF52257D-F1B1-408E-B3DE-C0F2F1344022}"/>
    <hyperlink ref="M3:M31" r:id="rId2" display="Source: Ethereum Mainnet Statistics (2025). Consensus Layer Countries. [Access: 07.11.2025]; [Online-available: https://www.ethernodes.org/countries]" xr:uid="{2388F68E-BB52-493A-934B-01063EA6EE2A}"/>
  </hyperlinks>
  <pageMargins left="0.7" right="0.7" top="0.78740157499999996" bottom="0.78740157499999996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89B69-096B-43AD-9DA4-CE724986854D}">
  <dimension ref="A1:H18"/>
  <sheetViews>
    <sheetView tabSelected="1" zoomScale="70" zoomScaleNormal="70" workbookViewId="0">
      <selection activeCell="H18" sqref="A1:H18"/>
    </sheetView>
  </sheetViews>
  <sheetFormatPr defaultColWidth="8.88671875" defaultRowHeight="14.4" x14ac:dyDescent="0.3"/>
  <cols>
    <col min="1" max="1" width="4.77734375" customWidth="1"/>
    <col min="2" max="2" width="10.77734375" customWidth="1"/>
    <col min="3" max="3" width="19.6640625" customWidth="1"/>
    <col min="4" max="4" width="36.44140625" customWidth="1"/>
    <col min="5" max="5" width="24.6640625" customWidth="1"/>
    <col min="6" max="6" width="12.109375" customWidth="1"/>
    <col min="7" max="7" width="13.6640625" customWidth="1"/>
    <col min="8" max="8" width="18.77734375" customWidth="1"/>
  </cols>
  <sheetData>
    <row r="1" spans="1:8" ht="45.75" customHeight="1" x14ac:dyDescent="0.3">
      <c r="A1" s="125" t="s">
        <v>96</v>
      </c>
      <c r="B1" s="125" t="s">
        <v>81</v>
      </c>
      <c r="C1" s="125" t="s">
        <v>82</v>
      </c>
      <c r="D1" s="125" t="s">
        <v>83</v>
      </c>
      <c r="E1" s="125" t="s">
        <v>84</v>
      </c>
      <c r="F1" s="125" t="s">
        <v>85</v>
      </c>
      <c r="G1" s="125" t="s">
        <v>86</v>
      </c>
      <c r="H1" s="125" t="s">
        <v>87</v>
      </c>
    </row>
    <row r="2" spans="1:8" ht="60" customHeight="1" x14ac:dyDescent="0.3">
      <c r="A2" s="128">
        <v>1</v>
      </c>
      <c r="B2" s="128" t="s">
        <v>126</v>
      </c>
      <c r="C2" s="129" t="s">
        <v>127</v>
      </c>
      <c r="D2" s="128" t="s">
        <v>935</v>
      </c>
      <c r="E2" s="128" t="s">
        <v>128</v>
      </c>
      <c r="F2" s="128" t="s">
        <v>96</v>
      </c>
      <c r="G2" s="128" t="s">
        <v>129</v>
      </c>
      <c r="H2" s="128" t="s">
        <v>118</v>
      </c>
    </row>
    <row r="3" spans="1:8" ht="28.8" x14ac:dyDescent="0.3">
      <c r="A3" s="128">
        <v>2</v>
      </c>
      <c r="B3" s="128" t="s">
        <v>143</v>
      </c>
      <c r="C3" s="129" t="s">
        <v>144</v>
      </c>
      <c r="D3" s="128" t="s">
        <v>941</v>
      </c>
      <c r="E3" s="128" t="s">
        <v>145</v>
      </c>
      <c r="F3" s="128" t="s">
        <v>96</v>
      </c>
      <c r="G3" s="128" t="s">
        <v>102</v>
      </c>
      <c r="H3" s="128" t="s">
        <v>146</v>
      </c>
    </row>
    <row r="4" spans="1:8" ht="43.2" x14ac:dyDescent="0.3">
      <c r="A4" s="128">
        <v>3</v>
      </c>
      <c r="B4" s="128" t="s">
        <v>150</v>
      </c>
      <c r="C4" s="129" t="s">
        <v>151</v>
      </c>
      <c r="D4" s="128" t="s">
        <v>943</v>
      </c>
      <c r="E4" s="128" t="s">
        <v>152</v>
      </c>
      <c r="F4" s="128" t="s">
        <v>96</v>
      </c>
      <c r="G4" s="128" t="s">
        <v>153</v>
      </c>
      <c r="H4" s="128" t="s">
        <v>154</v>
      </c>
    </row>
    <row r="5" spans="1:8" ht="28.8" x14ac:dyDescent="0.3">
      <c r="A5" s="128">
        <v>4</v>
      </c>
      <c r="B5" s="128" t="s">
        <v>123</v>
      </c>
      <c r="C5" s="129" t="s">
        <v>124</v>
      </c>
      <c r="D5" s="128" t="s">
        <v>934</v>
      </c>
      <c r="E5" s="128" t="s">
        <v>125</v>
      </c>
      <c r="F5" s="128" t="s">
        <v>90</v>
      </c>
      <c r="G5" s="128" t="s">
        <v>102</v>
      </c>
      <c r="H5" s="128" t="s">
        <v>103</v>
      </c>
    </row>
    <row r="6" spans="1:8" ht="43.2" x14ac:dyDescent="0.3">
      <c r="A6" s="128">
        <v>5</v>
      </c>
      <c r="B6" s="128" t="s">
        <v>108</v>
      </c>
      <c r="C6" s="129" t="s">
        <v>109</v>
      </c>
      <c r="D6" s="128" t="s">
        <v>930</v>
      </c>
      <c r="E6" s="128" t="s">
        <v>110</v>
      </c>
      <c r="F6" s="128" t="s">
        <v>102</v>
      </c>
      <c r="G6" s="128" t="s">
        <v>102</v>
      </c>
      <c r="H6" s="128" t="s">
        <v>107</v>
      </c>
    </row>
    <row r="7" spans="1:8" ht="43.2" x14ac:dyDescent="0.3">
      <c r="A7" s="128">
        <v>6</v>
      </c>
      <c r="B7" s="128" t="s">
        <v>93</v>
      </c>
      <c r="C7" s="129" t="s">
        <v>94</v>
      </c>
      <c r="D7" s="128" t="s">
        <v>927</v>
      </c>
      <c r="E7" s="128" t="s">
        <v>95</v>
      </c>
      <c r="F7" s="128" t="s">
        <v>96</v>
      </c>
      <c r="G7" s="128" t="s">
        <v>97</v>
      </c>
      <c r="H7" s="128" t="s">
        <v>98</v>
      </c>
    </row>
    <row r="8" spans="1:8" ht="57.6" x14ac:dyDescent="0.3">
      <c r="A8" s="128">
        <v>7</v>
      </c>
      <c r="B8" s="128" t="s">
        <v>925</v>
      </c>
      <c r="C8" s="129" t="s">
        <v>88</v>
      </c>
      <c r="D8" s="118" t="s">
        <v>926</v>
      </c>
      <c r="E8" s="128" t="s">
        <v>89</v>
      </c>
      <c r="F8" s="128" t="s">
        <v>90</v>
      </c>
      <c r="G8" s="128" t="s">
        <v>91</v>
      </c>
      <c r="H8" s="128" t="s">
        <v>92</v>
      </c>
    </row>
    <row r="9" spans="1:8" ht="43.2" x14ac:dyDescent="0.3">
      <c r="A9" s="128">
        <v>8</v>
      </c>
      <c r="B9" s="128" t="s">
        <v>130</v>
      </c>
      <c r="C9" s="129" t="s">
        <v>131</v>
      </c>
      <c r="D9" s="128" t="s">
        <v>936</v>
      </c>
      <c r="E9" s="128" t="s">
        <v>132</v>
      </c>
      <c r="F9" s="128" t="s">
        <v>96</v>
      </c>
      <c r="G9" s="128" t="s">
        <v>133</v>
      </c>
      <c r="H9" s="128" t="s">
        <v>98</v>
      </c>
    </row>
    <row r="10" spans="1:8" ht="28.8" x14ac:dyDescent="0.3">
      <c r="A10" s="128">
        <v>9</v>
      </c>
      <c r="B10" s="128" t="s">
        <v>104</v>
      </c>
      <c r="C10" s="129" t="s">
        <v>105</v>
      </c>
      <c r="D10" s="128" t="s">
        <v>929</v>
      </c>
      <c r="E10" s="128" t="s">
        <v>106</v>
      </c>
      <c r="F10" s="128" t="s">
        <v>102</v>
      </c>
      <c r="G10" s="128" t="s">
        <v>102</v>
      </c>
      <c r="H10" s="128" t="s">
        <v>107</v>
      </c>
    </row>
    <row r="11" spans="1:8" ht="43.2" x14ac:dyDescent="0.3">
      <c r="A11" s="128">
        <v>10</v>
      </c>
      <c r="B11" s="128" t="s">
        <v>99</v>
      </c>
      <c r="C11" s="129" t="s">
        <v>100</v>
      </c>
      <c r="D11" s="128" t="s">
        <v>928</v>
      </c>
      <c r="E11" s="128" t="s">
        <v>101</v>
      </c>
      <c r="F11" s="128" t="s">
        <v>90</v>
      </c>
      <c r="G11" s="128" t="s">
        <v>102</v>
      </c>
      <c r="H11" s="128" t="s">
        <v>103</v>
      </c>
    </row>
    <row r="12" spans="1:8" ht="28.8" x14ac:dyDescent="0.3">
      <c r="A12" s="128">
        <v>11</v>
      </c>
      <c r="B12" s="128" t="s">
        <v>147</v>
      </c>
      <c r="C12" s="129" t="s">
        <v>148</v>
      </c>
      <c r="D12" s="128" t="s">
        <v>942</v>
      </c>
      <c r="E12" s="128" t="s">
        <v>149</v>
      </c>
      <c r="F12" s="128" t="s">
        <v>102</v>
      </c>
      <c r="G12" s="128" t="s">
        <v>102</v>
      </c>
      <c r="H12" s="128" t="s">
        <v>107</v>
      </c>
    </row>
    <row r="13" spans="1:8" ht="28.8" x14ac:dyDescent="0.3">
      <c r="A13" s="128">
        <v>12</v>
      </c>
      <c r="B13" s="128" t="s">
        <v>939</v>
      </c>
      <c r="C13" s="129" t="s">
        <v>141</v>
      </c>
      <c r="D13" s="128" t="s">
        <v>940</v>
      </c>
      <c r="E13" s="128" t="s">
        <v>142</v>
      </c>
      <c r="F13" s="128" t="s">
        <v>102</v>
      </c>
      <c r="G13" s="128" t="s">
        <v>102</v>
      </c>
      <c r="H13" s="128" t="s">
        <v>107</v>
      </c>
    </row>
    <row r="14" spans="1:8" ht="28.8" x14ac:dyDescent="0.3">
      <c r="A14" s="128">
        <v>13</v>
      </c>
      <c r="B14" s="128" t="s">
        <v>111</v>
      </c>
      <c r="C14" s="129" t="s">
        <v>112</v>
      </c>
      <c r="D14" s="128" t="s">
        <v>931</v>
      </c>
      <c r="E14" s="128" t="s">
        <v>113</v>
      </c>
      <c r="F14" s="128" t="s">
        <v>102</v>
      </c>
      <c r="G14" s="128" t="s">
        <v>102</v>
      </c>
      <c r="H14" s="128" t="s">
        <v>107</v>
      </c>
    </row>
    <row r="15" spans="1:8" ht="28.8" x14ac:dyDescent="0.3">
      <c r="A15" s="128">
        <v>14</v>
      </c>
      <c r="B15" s="128" t="s">
        <v>134</v>
      </c>
      <c r="C15" s="129" t="s">
        <v>135</v>
      </c>
      <c r="D15" s="128" t="s">
        <v>937</v>
      </c>
      <c r="E15" s="128" t="s">
        <v>136</v>
      </c>
      <c r="F15" s="128" t="s">
        <v>90</v>
      </c>
      <c r="G15" s="128" t="s">
        <v>102</v>
      </c>
      <c r="H15" s="128" t="s">
        <v>103</v>
      </c>
    </row>
    <row r="16" spans="1:8" ht="28.8" x14ac:dyDescent="0.3">
      <c r="A16" s="128">
        <v>15</v>
      </c>
      <c r="B16" s="128" t="s">
        <v>119</v>
      </c>
      <c r="C16" s="129" t="s">
        <v>120</v>
      </c>
      <c r="D16" s="128" t="s">
        <v>933</v>
      </c>
      <c r="E16" s="128" t="s">
        <v>121</v>
      </c>
      <c r="F16" s="128" t="s">
        <v>90</v>
      </c>
      <c r="G16" s="128" t="s">
        <v>102</v>
      </c>
      <c r="H16" s="128" t="s">
        <v>122</v>
      </c>
    </row>
    <row r="17" spans="1:8" ht="28.8" x14ac:dyDescent="0.3">
      <c r="A17" s="128">
        <v>16</v>
      </c>
      <c r="B17" s="128" t="s">
        <v>137</v>
      </c>
      <c r="C17" s="129" t="s">
        <v>138</v>
      </c>
      <c r="D17" s="128" t="s">
        <v>938</v>
      </c>
      <c r="E17" s="128" t="s">
        <v>139</v>
      </c>
      <c r="F17" s="128" t="s">
        <v>102</v>
      </c>
      <c r="G17" s="128" t="s">
        <v>102</v>
      </c>
      <c r="H17" s="128" t="s">
        <v>140</v>
      </c>
    </row>
    <row r="18" spans="1:8" ht="43.2" x14ac:dyDescent="0.3">
      <c r="A18" s="128">
        <v>17</v>
      </c>
      <c r="B18" s="128" t="s">
        <v>114</v>
      </c>
      <c r="C18" s="129" t="s">
        <v>115</v>
      </c>
      <c r="D18" s="128" t="s">
        <v>932</v>
      </c>
      <c r="E18" s="128" t="s">
        <v>116</v>
      </c>
      <c r="F18" s="128" t="s">
        <v>96</v>
      </c>
      <c r="G18" s="128" t="s">
        <v>117</v>
      </c>
      <c r="H18" s="128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CDCCE-B4B8-4542-A40B-CC21C0D09D7A}">
  <dimension ref="A1:E15"/>
  <sheetViews>
    <sheetView workbookViewId="0">
      <selection activeCell="E15" sqref="E15"/>
    </sheetView>
  </sheetViews>
  <sheetFormatPr defaultColWidth="8.88671875" defaultRowHeight="14.4" x14ac:dyDescent="0.3"/>
  <cols>
    <col min="1" max="1" width="4.44140625" customWidth="1"/>
    <col min="2" max="2" width="32.33203125" customWidth="1"/>
    <col min="3" max="3" width="31.44140625" bestFit="1" customWidth="1"/>
    <col min="4" max="4" width="11.5546875" bestFit="1" customWidth="1"/>
    <col min="5" max="5" width="47.109375" customWidth="1"/>
  </cols>
  <sheetData>
    <row r="1" spans="1:5" x14ac:dyDescent="0.3">
      <c r="A1" s="125" t="s">
        <v>80</v>
      </c>
      <c r="B1" s="125" t="s">
        <v>155</v>
      </c>
      <c r="C1" s="125" t="s">
        <v>156</v>
      </c>
      <c r="D1" s="125" t="s">
        <v>157</v>
      </c>
      <c r="E1" s="125" t="s">
        <v>158</v>
      </c>
    </row>
    <row r="2" spans="1:5" ht="28.8" x14ac:dyDescent="0.3">
      <c r="A2" s="118">
        <v>1</v>
      </c>
      <c r="B2" s="120" t="s">
        <v>159</v>
      </c>
      <c r="C2" s="119" t="s">
        <v>160</v>
      </c>
      <c r="D2" s="121">
        <v>45697</v>
      </c>
      <c r="E2" s="118" t="s">
        <v>161</v>
      </c>
    </row>
    <row r="3" spans="1:5" ht="28.8" x14ac:dyDescent="0.3">
      <c r="A3" s="118">
        <v>2</v>
      </c>
      <c r="B3" s="120" t="s">
        <v>162</v>
      </c>
      <c r="C3" s="119" t="s">
        <v>163</v>
      </c>
      <c r="D3" s="121">
        <v>45697</v>
      </c>
      <c r="E3" s="118" t="s">
        <v>164</v>
      </c>
    </row>
    <row r="4" spans="1:5" x14ac:dyDescent="0.3">
      <c r="A4" s="118">
        <v>3</v>
      </c>
      <c r="B4" s="120" t="s">
        <v>165</v>
      </c>
      <c r="C4" t="s">
        <v>166</v>
      </c>
      <c r="D4" s="121">
        <v>45697</v>
      </c>
      <c r="E4" s="118" t="s">
        <v>167</v>
      </c>
    </row>
    <row r="5" spans="1:5" x14ac:dyDescent="0.3">
      <c r="A5" s="118">
        <v>4</v>
      </c>
      <c r="B5" s="120" t="s">
        <v>168</v>
      </c>
      <c r="C5" s="119" t="s">
        <v>169</v>
      </c>
      <c r="D5" s="121">
        <v>45697</v>
      </c>
      <c r="E5" s="118" t="s">
        <v>170</v>
      </c>
    </row>
    <row r="6" spans="1:5" x14ac:dyDescent="0.3">
      <c r="A6" s="118">
        <v>5</v>
      </c>
      <c r="B6" s="120" t="s">
        <v>171</v>
      </c>
      <c r="C6" s="119" t="s">
        <v>172</v>
      </c>
      <c r="D6" s="121">
        <v>45697</v>
      </c>
      <c r="E6" s="118" t="s">
        <v>173</v>
      </c>
    </row>
    <row r="7" spans="1:5" ht="28.8" x14ac:dyDescent="0.3">
      <c r="A7" s="118">
        <v>6</v>
      </c>
      <c r="B7" s="120" t="s">
        <v>174</v>
      </c>
      <c r="C7" s="119" t="s">
        <v>175</v>
      </c>
      <c r="D7" s="121">
        <v>45697</v>
      </c>
      <c r="E7" s="118" t="s">
        <v>176</v>
      </c>
    </row>
    <row r="8" spans="1:5" x14ac:dyDescent="0.3">
      <c r="A8" s="118">
        <v>7</v>
      </c>
      <c r="B8" s="120" t="s">
        <v>177</v>
      </c>
      <c r="C8" s="119" t="s">
        <v>178</v>
      </c>
      <c r="D8" s="121">
        <v>45697</v>
      </c>
      <c r="E8" s="118" t="s">
        <v>179</v>
      </c>
    </row>
    <row r="9" spans="1:5" ht="28.8" x14ac:dyDescent="0.3">
      <c r="A9" s="118">
        <v>8</v>
      </c>
      <c r="B9" s="120" t="s">
        <v>180</v>
      </c>
      <c r="C9" s="119" t="s">
        <v>181</v>
      </c>
      <c r="D9" s="121">
        <v>45697</v>
      </c>
      <c r="E9" s="118" t="s">
        <v>182</v>
      </c>
    </row>
    <row r="10" spans="1:5" x14ac:dyDescent="0.3">
      <c r="A10" s="118">
        <v>9</v>
      </c>
      <c r="B10" s="120" t="s">
        <v>183</v>
      </c>
      <c r="C10" s="119" t="s">
        <v>184</v>
      </c>
      <c r="D10" s="121">
        <v>45697</v>
      </c>
      <c r="E10" s="118" t="s">
        <v>185</v>
      </c>
    </row>
    <row r="11" spans="1:5" x14ac:dyDescent="0.3">
      <c r="A11" s="118">
        <v>10</v>
      </c>
      <c r="B11" s="120" t="s">
        <v>186</v>
      </c>
      <c r="C11" s="119" t="s">
        <v>187</v>
      </c>
      <c r="D11" s="121">
        <v>45697</v>
      </c>
      <c r="E11" s="118" t="s">
        <v>188</v>
      </c>
    </row>
    <row r="12" spans="1:5" x14ac:dyDescent="0.3">
      <c r="A12" s="118">
        <v>11</v>
      </c>
      <c r="B12" s="120" t="s">
        <v>189</v>
      </c>
      <c r="C12" s="119" t="s">
        <v>190</v>
      </c>
      <c r="D12" s="121">
        <v>45697</v>
      </c>
      <c r="E12" s="118" t="s">
        <v>191</v>
      </c>
    </row>
    <row r="13" spans="1:5" x14ac:dyDescent="0.3">
      <c r="A13" s="118">
        <v>12</v>
      </c>
      <c r="B13" s="120" t="s">
        <v>192</v>
      </c>
      <c r="C13" s="119" t="s">
        <v>193</v>
      </c>
      <c r="D13" s="121">
        <v>45697</v>
      </c>
      <c r="E13" s="118" t="s">
        <v>194</v>
      </c>
    </row>
    <row r="14" spans="1:5" ht="28.8" x14ac:dyDescent="0.3">
      <c r="A14" s="118">
        <v>13</v>
      </c>
      <c r="B14" s="120" t="s">
        <v>195</v>
      </c>
      <c r="C14" s="119" t="s">
        <v>196</v>
      </c>
      <c r="D14" s="121">
        <v>45697</v>
      </c>
      <c r="E14" s="118" t="s">
        <v>197</v>
      </c>
    </row>
    <row r="15" spans="1:5" x14ac:dyDescent="0.3">
      <c r="A15" s="118">
        <v>14</v>
      </c>
      <c r="B15" s="120" t="s">
        <v>198</v>
      </c>
      <c r="C15" s="119" t="s">
        <v>199</v>
      </c>
      <c r="D15" s="121">
        <v>45697</v>
      </c>
      <c r="E15" s="118" t="s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6DCD8-9D93-417C-AB9F-BB2FA2D41BCE}">
  <dimension ref="A1:E21"/>
  <sheetViews>
    <sheetView zoomScale="115" zoomScaleNormal="115" workbookViewId="0">
      <selection activeCell="H12" sqref="H12"/>
    </sheetView>
  </sheetViews>
  <sheetFormatPr defaultColWidth="11.44140625" defaultRowHeight="15" customHeight="1" x14ac:dyDescent="0.3"/>
  <cols>
    <col min="1" max="1" width="12.44140625" customWidth="1"/>
    <col min="2" max="2" width="30.109375" customWidth="1"/>
    <col min="3" max="3" width="15.5546875" customWidth="1"/>
    <col min="4" max="4" width="22.109375" customWidth="1"/>
    <col min="5" max="5" width="20.6640625" customWidth="1"/>
    <col min="6" max="6" width="18.33203125" customWidth="1"/>
    <col min="8" max="8" width="30.109375" bestFit="1" customWidth="1"/>
    <col min="10" max="10" width="51.5546875" bestFit="1" customWidth="1"/>
  </cols>
  <sheetData>
    <row r="1" spans="1:5" ht="72" customHeight="1" thickBot="1" x14ac:dyDescent="0.35">
      <c r="A1" s="138" t="s">
        <v>201</v>
      </c>
      <c r="B1" s="99" t="s">
        <v>202</v>
      </c>
      <c r="C1" s="99" t="s">
        <v>203</v>
      </c>
      <c r="D1" s="99" t="s">
        <v>204</v>
      </c>
      <c r="E1" s="99" t="s">
        <v>205</v>
      </c>
    </row>
    <row r="2" spans="1:5" ht="31.95" customHeight="1" x14ac:dyDescent="0.3">
      <c r="A2" s="139"/>
      <c r="B2" s="99" t="s">
        <v>208</v>
      </c>
      <c r="C2" s="99" t="s">
        <v>209</v>
      </c>
      <c r="D2" s="99" t="s">
        <v>210</v>
      </c>
      <c r="E2" s="99" t="s">
        <v>211</v>
      </c>
    </row>
    <row r="3" spans="1:5" ht="14.4" x14ac:dyDescent="0.3">
      <c r="A3" s="1" t="s">
        <v>1</v>
      </c>
      <c r="B3" s="60">
        <f>177.8*10^9</f>
        <v>177800000000</v>
      </c>
      <c r="C3" s="60">
        <f>365*466.206*1000</f>
        <v>170165190</v>
      </c>
      <c r="D3" s="85">
        <f>69.99*10^6</f>
        <v>69990000</v>
      </c>
      <c r="E3" s="85">
        <f t="shared" ref="E3:E7" si="0">D3*10^6/C3</f>
        <v>411306.21368565451</v>
      </c>
    </row>
    <row r="4" spans="1:5" ht="14.4" x14ac:dyDescent="0.3">
      <c r="A4" s="1" t="s">
        <v>2</v>
      </c>
      <c r="B4" s="60">
        <f>4298.27*1000</f>
        <v>4298270</v>
      </c>
      <c r="C4" s="60">
        <f>365*1.4583*10^6</f>
        <v>532279500</v>
      </c>
      <c r="D4" s="85">
        <v>1313.39</v>
      </c>
      <c r="E4" s="85">
        <f t="shared" si="0"/>
        <v>2.4674818398980234</v>
      </c>
    </row>
    <row r="5" spans="1:5" ht="14.4" x14ac:dyDescent="0.3">
      <c r="A5" s="1" t="s">
        <v>3</v>
      </c>
      <c r="B5" s="60">
        <f>436.9*1000</f>
        <v>436900</v>
      </c>
      <c r="C5" s="60">
        <f>77263*365</f>
        <v>28200995</v>
      </c>
      <c r="D5" s="85">
        <v>149.88</v>
      </c>
      <c r="E5" s="85">
        <f t="shared" si="0"/>
        <v>5.3147060945899245</v>
      </c>
    </row>
    <row r="6" spans="1:5" ht="14.4" x14ac:dyDescent="0.3">
      <c r="A6" s="1" t="s">
        <v>4</v>
      </c>
      <c r="B6" s="60">
        <f>16511.76*1000</f>
        <v>16511759.999999998</v>
      </c>
      <c r="C6" s="60">
        <f>365*250718529</f>
        <v>91512263085</v>
      </c>
      <c r="D6" s="85">
        <v>5075.04</v>
      </c>
      <c r="E6" s="85">
        <f t="shared" si="0"/>
        <v>5.5457485466031083E-2</v>
      </c>
    </row>
    <row r="7" spans="1:5" ht="14.4" x14ac:dyDescent="0.3">
      <c r="A7" s="1" t="s">
        <v>5</v>
      </c>
      <c r="B7" s="60">
        <f>471.77*1000</f>
        <v>471770</v>
      </c>
      <c r="C7" s="60">
        <f>365*1069624</f>
        <v>390412760</v>
      </c>
      <c r="D7" s="85">
        <v>194.18</v>
      </c>
      <c r="E7" s="85">
        <f t="shared" si="0"/>
        <v>0.49737103879494104</v>
      </c>
    </row>
    <row r="8" spans="1:5" ht="14.4" x14ac:dyDescent="0.3">
      <c r="A8" s="1" t="s">
        <v>218</v>
      </c>
      <c r="B8" s="60">
        <f>217.81*1000</f>
        <v>217810</v>
      </c>
      <c r="C8" s="60">
        <f>1.91*10^6*365</f>
        <v>697150000</v>
      </c>
      <c r="D8" s="86">
        <v>56.47</v>
      </c>
      <c r="E8" s="85">
        <f>D8*10^6/C8</f>
        <v>8.1001219249802775E-2</v>
      </c>
    </row>
    <row r="9" spans="1:5" ht="14.4" x14ac:dyDescent="0.3"/>
    <row r="10" spans="1:5" ht="14.4" x14ac:dyDescent="0.3"/>
    <row r="11" spans="1:5" thickBot="1" x14ac:dyDescent="0.35"/>
    <row r="12" spans="1:5" ht="37.200000000000003" customHeight="1" thickBot="1" x14ac:dyDescent="0.35">
      <c r="A12" s="169" t="s">
        <v>206</v>
      </c>
      <c r="B12" s="173" t="s">
        <v>207</v>
      </c>
      <c r="C12" s="173"/>
      <c r="D12" s="173"/>
      <c r="E12" s="173"/>
    </row>
    <row r="13" spans="1:5" ht="37.200000000000003" customHeight="1" thickBot="1" x14ac:dyDescent="0.35">
      <c r="A13" s="169" t="s">
        <v>212</v>
      </c>
      <c r="B13" s="173" t="s">
        <v>207</v>
      </c>
      <c r="C13" s="173"/>
      <c r="D13" s="173"/>
      <c r="E13" s="173"/>
    </row>
    <row r="14" spans="1:5" ht="14.4" x14ac:dyDescent="0.3">
      <c r="A14" s="170" t="s">
        <v>213</v>
      </c>
      <c r="B14" s="1" t="s">
        <v>1</v>
      </c>
      <c r="C14" s="173" t="s">
        <v>214</v>
      </c>
      <c r="D14" s="173"/>
      <c r="E14" s="173"/>
    </row>
    <row r="15" spans="1:5" ht="14.4" x14ac:dyDescent="0.3">
      <c r="A15" s="171"/>
      <c r="B15" s="174" t="s">
        <v>2</v>
      </c>
      <c r="C15" s="173" t="s">
        <v>215</v>
      </c>
      <c r="D15" s="173"/>
      <c r="E15" s="173"/>
    </row>
    <row r="16" spans="1:5" ht="14.4" x14ac:dyDescent="0.3">
      <c r="A16" s="171"/>
      <c r="B16" s="174"/>
      <c r="C16" s="173" t="s">
        <v>214</v>
      </c>
      <c r="D16" s="173"/>
      <c r="E16" s="173"/>
    </row>
    <row r="17" spans="1:5" ht="14.4" x14ac:dyDescent="0.3">
      <c r="A17" s="171"/>
      <c r="B17" s="1" t="s">
        <v>3</v>
      </c>
      <c r="C17" s="173" t="s">
        <v>216</v>
      </c>
      <c r="D17" s="173"/>
      <c r="E17" s="173"/>
    </row>
    <row r="18" spans="1:5" ht="15" customHeight="1" x14ac:dyDescent="0.3">
      <c r="A18" s="171"/>
      <c r="B18" s="1" t="s">
        <v>4</v>
      </c>
      <c r="C18" s="173" t="s">
        <v>217</v>
      </c>
      <c r="D18" s="173"/>
      <c r="E18" s="173"/>
    </row>
    <row r="19" spans="1:5" ht="15" customHeight="1" x14ac:dyDescent="0.3">
      <c r="A19" s="171"/>
      <c r="B19" s="174" t="s">
        <v>5</v>
      </c>
      <c r="C19" s="173" t="s">
        <v>219</v>
      </c>
      <c r="D19" s="173"/>
      <c r="E19" s="173"/>
    </row>
    <row r="20" spans="1:5" ht="15" customHeight="1" x14ac:dyDescent="0.3">
      <c r="A20" s="171"/>
      <c r="B20" s="174"/>
      <c r="C20" s="173" t="s">
        <v>220</v>
      </c>
      <c r="D20" s="173"/>
      <c r="E20" s="173"/>
    </row>
    <row r="21" spans="1:5" ht="15" customHeight="1" x14ac:dyDescent="0.3">
      <c r="A21" s="172"/>
      <c r="B21" s="1" t="s">
        <v>218</v>
      </c>
      <c r="C21" s="173" t="s">
        <v>177</v>
      </c>
      <c r="D21" s="173"/>
      <c r="E21" s="173"/>
    </row>
  </sheetData>
  <mergeCells count="14">
    <mergeCell ref="A1:A2"/>
    <mergeCell ref="B15:B16"/>
    <mergeCell ref="B19:B20"/>
    <mergeCell ref="A14:A21"/>
    <mergeCell ref="C14:E14"/>
    <mergeCell ref="C15:E15"/>
    <mergeCell ref="C16:E16"/>
    <mergeCell ref="C17:E17"/>
    <mergeCell ref="C21:E21"/>
    <mergeCell ref="C20:E20"/>
    <mergeCell ref="C19:E19"/>
    <mergeCell ref="C18:E18"/>
    <mergeCell ref="B13:E13"/>
    <mergeCell ref="B12:E12"/>
  </mergeCells>
  <hyperlinks>
    <hyperlink ref="B12" r:id="rId1" xr:uid="{1A64C497-A5D1-4396-803A-64DD5F6BEE82}"/>
    <hyperlink ref="B13" r:id="rId2" xr:uid="{F557FBF5-CC7E-4728-A98D-22964B11B696}"/>
    <hyperlink ref="C14" r:id="rId3" location="3y" display="https://bitinfocharts.com/comparison/transactions-btc-eth.html - 3y" xr:uid="{A8040F56-40E1-479F-9FFD-1F54FB81461B}"/>
    <hyperlink ref="C21" r:id="rId4" display="https://explorer.iota.org/" xr:uid="{AE8A79EE-3ADC-4C24-993E-F77F4C63C716}"/>
    <hyperlink ref="C20" r:id="rId5" location="3y" display="https://bitinfocharts.com/comparison/xrp-transactions.html - 3y" xr:uid="{4E5090CB-5279-488F-854C-50C7D240E73D}"/>
    <hyperlink ref="C19" r:id="rId6" display="https://xrpscan.com/metrics" xr:uid="{E7431C0D-7E80-48ED-9271-736074CC6323}"/>
    <hyperlink ref="C18" r:id="rId7" display="https://solscan.io/analytics" xr:uid="{CF572C46-27EE-4E88-A311-07BAB43D4921}"/>
    <hyperlink ref="C16" r:id="rId8" location="3y" display="https://bitinfocharts.com/comparison/transactions-btc-eth.html - 3y" xr:uid="{60C5E8AB-5749-4FA0-8696-6E1E020AD221}"/>
    <hyperlink ref="C15" r:id="rId9" display="https://etherscan.io/txs" xr:uid="{DDB5C299-E016-4E6C-9707-9BD0C45D82FA}"/>
    <hyperlink ref="C17" r:id="rId10" display="https://cexplorer.io/tps" xr:uid="{8E047A13-C0CC-4303-BA35-B6ABBB465F7F}"/>
  </hyperlink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484CF-CE8C-4A59-83DF-727C44C55D01}">
  <dimension ref="A1:W47"/>
  <sheetViews>
    <sheetView topLeftCell="P1" workbookViewId="0">
      <selection activeCell="W10" sqref="W10"/>
    </sheetView>
  </sheetViews>
  <sheetFormatPr defaultColWidth="11.44140625" defaultRowHeight="14.4" x14ac:dyDescent="0.3"/>
  <cols>
    <col min="2" max="2" width="12.88671875" customWidth="1"/>
    <col min="3" max="3" width="11.33203125" bestFit="1" customWidth="1"/>
    <col min="4" max="4" width="13.6640625" customWidth="1"/>
    <col min="5" max="5" width="13.5546875" customWidth="1"/>
    <col min="12" max="12" width="99.44140625" bestFit="1" customWidth="1"/>
    <col min="14" max="14" width="99.44140625" bestFit="1" customWidth="1"/>
    <col min="16" max="16" width="80.6640625" bestFit="1" customWidth="1"/>
    <col min="18" max="18" width="47.44140625" bestFit="1" customWidth="1"/>
    <col min="20" max="20" width="48.44140625" bestFit="1" customWidth="1"/>
    <col min="22" max="22" width="71.33203125" bestFit="1" customWidth="1"/>
  </cols>
  <sheetData>
    <row r="1" spans="1:23" ht="73.95" customHeight="1" thickBot="1" x14ac:dyDescent="0.35">
      <c r="A1" s="138" t="s">
        <v>201</v>
      </c>
      <c r="B1" s="99" t="s">
        <v>221</v>
      </c>
      <c r="C1" s="99" t="s">
        <v>222</v>
      </c>
      <c r="D1" s="99" t="s">
        <v>223</v>
      </c>
      <c r="E1" s="99" t="s">
        <v>224</v>
      </c>
      <c r="F1" s="99" t="s">
        <v>225</v>
      </c>
      <c r="J1" s="99" t="s">
        <v>226</v>
      </c>
      <c r="K1" s="99" t="s">
        <v>1</v>
      </c>
      <c r="L1" s="99" t="s">
        <v>227</v>
      </c>
      <c r="M1" s="99" t="s">
        <v>2</v>
      </c>
      <c r="N1" s="99" t="s">
        <v>227</v>
      </c>
      <c r="O1" s="99" t="s">
        <v>5</v>
      </c>
      <c r="P1" s="99" t="s">
        <v>227</v>
      </c>
      <c r="Q1" s="99" t="s">
        <v>3</v>
      </c>
      <c r="R1" s="99" t="s">
        <v>227</v>
      </c>
      <c r="S1" s="99" t="s">
        <v>4</v>
      </c>
      <c r="T1" s="99" t="s">
        <v>227</v>
      </c>
      <c r="U1" s="99" t="s">
        <v>218</v>
      </c>
      <c r="V1" s="99" t="s">
        <v>227</v>
      </c>
    </row>
    <row r="2" spans="1:23" ht="52.2" customHeight="1" x14ac:dyDescent="0.3">
      <c r="A2" s="139"/>
      <c r="B2" s="99" t="s">
        <v>228</v>
      </c>
      <c r="C2" s="99" t="s">
        <v>229</v>
      </c>
      <c r="D2" s="99" t="s">
        <v>230</v>
      </c>
      <c r="E2" s="99" t="s">
        <v>231</v>
      </c>
      <c r="F2" s="99" t="s">
        <v>232</v>
      </c>
      <c r="J2" s="138"/>
      <c r="K2" s="97">
        <v>0.91800000000000004</v>
      </c>
      <c r="L2" s="2" t="s">
        <v>233</v>
      </c>
      <c r="M2" s="97">
        <v>0.35799999999999998</v>
      </c>
      <c r="N2" s="97" t="s">
        <v>234</v>
      </c>
      <c r="O2" s="97">
        <v>1.4E-3</v>
      </c>
      <c r="P2" s="2" t="s">
        <v>235</v>
      </c>
      <c r="Q2" s="97" t="s">
        <v>236</v>
      </c>
      <c r="R2" s="2" t="s">
        <v>237</v>
      </c>
      <c r="S2" s="97">
        <v>2.5000000000000001E-4</v>
      </c>
      <c r="T2" s="98" t="s">
        <v>238</v>
      </c>
      <c r="U2" s="97">
        <v>0</v>
      </c>
      <c r="V2" s="2" t="s">
        <v>239</v>
      </c>
    </row>
    <row r="3" spans="1:23" ht="16.95" customHeight="1" x14ac:dyDescent="0.3">
      <c r="A3" s="1" t="s">
        <v>1</v>
      </c>
      <c r="B3" s="45">
        <f>'Table4 - Overview of systems'!B3/'Table4 - Overview of systems'!C3</f>
        <v>1044.8670494829171</v>
      </c>
      <c r="C3" s="49">
        <v>68192</v>
      </c>
      <c r="D3" s="61">
        <f>'Table4 - Overview of systems'!B3/'Table5 - Calculated values'!C3</f>
        <v>2607343.9699671515</v>
      </c>
      <c r="E3" s="62">
        <f>D3/(365*24)</f>
        <v>297.64200570401272</v>
      </c>
      <c r="F3" s="62">
        <f>K6</f>
        <v>1.012</v>
      </c>
      <c r="J3" s="168"/>
      <c r="K3" s="97">
        <v>0.84</v>
      </c>
      <c r="L3" s="2" t="s">
        <v>240</v>
      </c>
      <c r="M3" s="97">
        <v>0.81</v>
      </c>
      <c r="N3" s="2" t="s">
        <v>240</v>
      </c>
      <c r="O3" s="97">
        <v>2.9999999999999997E-4</v>
      </c>
      <c r="P3" s="98" t="s">
        <v>241</v>
      </c>
      <c r="Q3" s="97">
        <v>0.16417019999999999</v>
      </c>
      <c r="R3" s="2" t="s">
        <v>242</v>
      </c>
      <c r="S3" s="97">
        <v>2.8E-3</v>
      </c>
      <c r="T3" s="2" t="s">
        <v>243</v>
      </c>
      <c r="U3" s="1" t="s">
        <v>244</v>
      </c>
      <c r="V3" s="2" t="s">
        <v>245</v>
      </c>
      <c r="W3" t="s">
        <v>244</v>
      </c>
    </row>
    <row r="4" spans="1:23" x14ac:dyDescent="0.3">
      <c r="A4" s="1" t="s">
        <v>2</v>
      </c>
      <c r="B4" s="103">
        <f>'Table4 - Overview of systems'!B4/'Table4 - Overview of systems'!C4</f>
        <v>8.0752123649323326E-3</v>
      </c>
      <c r="C4" s="49">
        <v>9040</v>
      </c>
      <c r="D4" s="61">
        <f>'Table4 - Overview of systems'!B4/'Table5 - Calculated values'!C4</f>
        <v>475.47234513274338</v>
      </c>
      <c r="E4" s="62">
        <f>D4/(365*24)</f>
        <v>5.4277664969491254E-2</v>
      </c>
      <c r="F4" s="62">
        <f>M6</f>
        <v>0.55900000000000005</v>
      </c>
      <c r="I4" s="4"/>
      <c r="J4" s="168"/>
      <c r="K4" s="97">
        <v>0.91</v>
      </c>
      <c r="L4" s="2" t="s">
        <v>246</v>
      </c>
      <c r="M4" s="97">
        <v>0.53800000000000003</v>
      </c>
      <c r="N4" s="2" t="s">
        <v>247</v>
      </c>
      <c r="O4" s="1" t="s">
        <v>244</v>
      </c>
      <c r="P4" s="97"/>
      <c r="Q4" s="1" t="s">
        <v>248</v>
      </c>
      <c r="R4" s="1"/>
      <c r="S4" s="1"/>
      <c r="T4" s="1"/>
      <c r="U4" s="1"/>
      <c r="V4" s="1"/>
      <c r="W4" t="s">
        <v>244</v>
      </c>
    </row>
    <row r="5" spans="1:23" ht="15" thickBot="1" x14ac:dyDescent="0.35">
      <c r="A5" s="1" t="s">
        <v>3</v>
      </c>
      <c r="B5" s="103">
        <f>'Table4 - Overview of systems'!B5/'Table4 - Overview of systems'!C5</f>
        <v>1.5492361173781279E-2</v>
      </c>
      <c r="C5" s="49">
        <v>2868</v>
      </c>
      <c r="D5" s="61">
        <f>'Table4 - Overview of systems'!B5/'Table5 - Calculated values'!C5</f>
        <v>152.33612273361229</v>
      </c>
      <c r="E5" s="62">
        <f>D5/(365*24)</f>
        <v>1.7389968348585878E-2</v>
      </c>
      <c r="F5" s="62">
        <f>Q6</f>
        <v>9.5218715999999981E-2</v>
      </c>
      <c r="I5" s="4"/>
      <c r="J5" s="175"/>
      <c r="K5" s="97">
        <v>1.38</v>
      </c>
      <c r="L5" s="2" t="s">
        <v>243</v>
      </c>
      <c r="M5" s="97">
        <v>0.53</v>
      </c>
      <c r="N5" s="2" t="s">
        <v>249</v>
      </c>
      <c r="O5" s="1" t="s">
        <v>244</v>
      </c>
      <c r="P5" s="1"/>
      <c r="Q5" s="1">
        <v>0.57999999999999996</v>
      </c>
      <c r="R5" s="1"/>
      <c r="S5" s="1"/>
      <c r="T5" s="1"/>
      <c r="U5" s="1"/>
      <c r="V5" s="1"/>
    </row>
    <row r="6" spans="1:23" x14ac:dyDescent="0.3">
      <c r="A6" s="1" t="s">
        <v>4</v>
      </c>
      <c r="B6" s="103">
        <f>'Table4 - Overview of systems'!B6/'Table4 - Overview of systems'!C6</f>
        <v>1.8043221141480524E-4</v>
      </c>
      <c r="C6" s="49">
        <v>5850</v>
      </c>
      <c r="D6" s="61">
        <f>'Table4 - Overview of systems'!B6/'Table5 - Calculated values'!C6</f>
        <v>2822.5230769230766</v>
      </c>
      <c r="E6" s="62">
        <f>D6/(365*24)</f>
        <v>0.32220583069898134</v>
      </c>
      <c r="F6" s="62">
        <f>S6</f>
        <v>1.5249999999999999E-3</v>
      </c>
      <c r="I6" s="4"/>
      <c r="J6" s="99" t="s">
        <v>250</v>
      </c>
      <c r="K6" s="176">
        <f>AVERAGE(K2:K5)</f>
        <v>1.012</v>
      </c>
      <c r="L6" s="176"/>
      <c r="M6" s="176">
        <f>AVERAGE(M2:M5)</f>
        <v>0.55900000000000005</v>
      </c>
      <c r="N6" s="176"/>
      <c r="O6" s="176">
        <f>AVERAGE(O2:O3)</f>
        <v>8.4999999999999995E-4</v>
      </c>
      <c r="P6" s="22"/>
      <c r="Q6" s="22">
        <f>Q5*Q3</f>
        <v>9.5218715999999981E-2</v>
      </c>
      <c r="R6" s="22"/>
      <c r="S6" s="176">
        <f>AVERAGE(S2:S3)</f>
        <v>1.5249999999999999E-3</v>
      </c>
      <c r="T6" s="22"/>
      <c r="U6" s="22">
        <v>0</v>
      </c>
    </row>
    <row r="7" spans="1:23" x14ac:dyDescent="0.3">
      <c r="A7" s="1" t="s">
        <v>5</v>
      </c>
      <c r="B7" s="103">
        <f>'Table4 - Overview of systems'!B7/'Table4 - Overview of systems'!C7</f>
        <v>1.2083877586378069E-3</v>
      </c>
      <c r="C7" s="49">
        <v>889</v>
      </c>
      <c r="D7" s="61">
        <f>'Table4 - Overview of systems'!B7/'Table5 - Calculated values'!C7</f>
        <v>530.67491563554552</v>
      </c>
      <c r="E7" s="62">
        <f>D7/(365*24)</f>
        <v>6.0579328268897892E-2</v>
      </c>
      <c r="F7" s="62">
        <f>O6</f>
        <v>8.4999999999999995E-4</v>
      </c>
      <c r="I7" s="4"/>
    </row>
    <row r="8" spans="1:23" x14ac:dyDescent="0.3">
      <c r="A8" s="1" t="s">
        <v>218</v>
      </c>
      <c r="B8" s="103">
        <f>'Table4 - Overview of systems'!B8/'Table4 - Overview of systems'!C8</f>
        <v>3.124291759305745E-4</v>
      </c>
      <c r="C8" s="45" t="s">
        <v>251</v>
      </c>
      <c r="D8" s="45" t="s">
        <v>251</v>
      </c>
      <c r="E8" s="45" t="s">
        <v>251</v>
      </c>
      <c r="F8" s="112">
        <v>0</v>
      </c>
    </row>
    <row r="10" spans="1:23" ht="168" customHeight="1" x14ac:dyDescent="0.3">
      <c r="B10" s="44"/>
      <c r="D10" s="44"/>
    </row>
    <row r="19" spans="1:14" ht="25.95" customHeight="1" x14ac:dyDescent="0.3">
      <c r="N19" t="s">
        <v>244</v>
      </c>
    </row>
    <row r="20" spans="1:14" ht="16.95" customHeight="1" x14ac:dyDescent="0.3">
      <c r="N20" s="48" t="s">
        <v>244</v>
      </c>
    </row>
    <row r="24" spans="1:14" x14ac:dyDescent="0.3">
      <c r="A24" s="96"/>
      <c r="B24" s="96"/>
    </row>
    <row r="26" spans="1:14" x14ac:dyDescent="0.3">
      <c r="C26" t="s">
        <v>244</v>
      </c>
    </row>
    <row r="27" spans="1:14" x14ac:dyDescent="0.3">
      <c r="C27" t="s">
        <v>244</v>
      </c>
    </row>
    <row r="28" spans="1:14" x14ac:dyDescent="0.3">
      <c r="C28" t="s">
        <v>244</v>
      </c>
    </row>
    <row r="29" spans="1:14" x14ac:dyDescent="0.3">
      <c r="C29" t="s">
        <v>244</v>
      </c>
    </row>
    <row r="31" spans="1:14" x14ac:dyDescent="0.3">
      <c r="A31" s="96"/>
      <c r="B31" s="96"/>
    </row>
    <row r="36" spans="1:2" x14ac:dyDescent="0.3">
      <c r="A36" s="96"/>
      <c r="B36" s="96"/>
    </row>
    <row r="39" spans="1:2" x14ac:dyDescent="0.3">
      <c r="A39" s="96"/>
      <c r="B39" s="96"/>
    </row>
    <row r="40" spans="1:2" x14ac:dyDescent="0.3">
      <c r="B40" s="96"/>
    </row>
    <row r="43" spans="1:2" x14ac:dyDescent="0.3">
      <c r="B43" s="96"/>
    </row>
    <row r="44" spans="1:2" x14ac:dyDescent="0.3">
      <c r="A44" s="96"/>
      <c r="B44" s="96"/>
    </row>
    <row r="45" spans="1:2" x14ac:dyDescent="0.3">
      <c r="A45" s="96" t="s">
        <v>218</v>
      </c>
      <c r="B45" s="96"/>
    </row>
    <row r="46" spans="1:2" x14ac:dyDescent="0.3">
      <c r="A46" s="96">
        <v>0</v>
      </c>
      <c r="B46" s="4" t="s">
        <v>239</v>
      </c>
    </row>
    <row r="47" spans="1:2" x14ac:dyDescent="0.3">
      <c r="B47" t="s">
        <v>245</v>
      </c>
    </row>
  </sheetData>
  <mergeCells count="2">
    <mergeCell ref="A1:A2"/>
    <mergeCell ref="J2:J5"/>
  </mergeCells>
  <hyperlinks>
    <hyperlink ref="L2" r:id="rId1" xr:uid="{ED2EA795-6D3B-4775-AD2B-7EB49ECFEA25}"/>
    <hyperlink ref="L3" r:id="rId2" xr:uid="{0264D8E8-4F82-4B43-A0E6-A163D35100DA}"/>
    <hyperlink ref="L4" r:id="rId3" xr:uid="{5CA9241D-810F-4FF0-ADAA-295F65299B57}"/>
    <hyperlink ref="L5" r:id="rId4" xr:uid="{59DEBF7C-BE7D-4C0F-A2CB-FFD99624FC56}"/>
    <hyperlink ref="N2" r:id="rId5" display="https://ycharts.com/indicators/ethereum_average_transaction_fee" xr:uid="{B385599C-B517-459C-A4B2-6DD4881266B9}"/>
    <hyperlink ref="N3" r:id="rId6" xr:uid="{D3224CCE-2E6D-485D-8E71-1180B5B3CAC3}"/>
    <hyperlink ref="P2" r:id="rId7" xr:uid="{CB1E0D61-1515-4BC7-981E-ADF8979526F5}"/>
    <hyperlink ref="T3" r:id="rId8" xr:uid="{EA367ECD-A7C0-4BE9-BA09-8D5ED0DA867D}"/>
    <hyperlink ref="B46" r:id="rId9" xr:uid="{EEE837A2-20B5-4F95-AD01-A5DBBF423035}"/>
    <hyperlink ref="V2" r:id="rId10" xr:uid="{D831CCF4-B79B-4FF6-AE59-7C8C37066B4D}"/>
    <hyperlink ref="R2" r:id="rId11" xr:uid="{203BBFFA-5176-4D10-BBA8-F86141326681}"/>
    <hyperlink ref="R3" r:id="rId12" xr:uid="{12F9EB1D-80FA-4D07-A3C0-704AC57B0BFD}"/>
    <hyperlink ref="V3" r:id="rId13" xr:uid="{FFBE769D-73B4-464C-AD88-E77D9F1451F3}"/>
  </hyperlink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A748-13D0-4FF7-8944-5A8D90D41E77}">
  <dimension ref="A1:M12"/>
  <sheetViews>
    <sheetView workbookViewId="0">
      <selection activeCell="N27" sqref="N27"/>
    </sheetView>
  </sheetViews>
  <sheetFormatPr defaultColWidth="11.44140625" defaultRowHeight="14.4" x14ac:dyDescent="0.3"/>
  <cols>
    <col min="1" max="1" width="5.6640625" customWidth="1"/>
    <col min="2" max="2" width="14.33203125" bestFit="1" customWidth="1"/>
    <col min="3" max="3" width="10.5546875" customWidth="1"/>
    <col min="4" max="4" width="5.6640625" customWidth="1"/>
    <col min="6" max="6" width="10" customWidth="1"/>
    <col min="7" max="7" width="5.6640625" customWidth="1"/>
    <col min="9" max="9" width="10.6640625" customWidth="1"/>
  </cols>
  <sheetData>
    <row r="1" spans="1:13" ht="18.600000000000001" customHeight="1" x14ac:dyDescent="0.3">
      <c r="A1" s="140" t="s">
        <v>8</v>
      </c>
      <c r="B1" s="141"/>
      <c r="C1" s="69" t="s">
        <v>252</v>
      </c>
      <c r="D1" s="140" t="s">
        <v>8</v>
      </c>
      <c r="E1" s="141"/>
      <c r="F1" s="69" t="s">
        <v>252</v>
      </c>
      <c r="G1" s="140" t="s">
        <v>8</v>
      </c>
      <c r="H1" s="141"/>
      <c r="I1" s="69" t="s">
        <v>252</v>
      </c>
    </row>
    <row r="2" spans="1:13" x14ac:dyDescent="0.3">
      <c r="A2" s="78" t="s">
        <v>253</v>
      </c>
      <c r="B2" s="63" t="s">
        <v>39</v>
      </c>
      <c r="C2" s="70">
        <v>774.59955661899505</v>
      </c>
      <c r="D2" s="78" t="s">
        <v>254</v>
      </c>
      <c r="E2" s="63" t="s">
        <v>37</v>
      </c>
      <c r="F2" s="70">
        <v>433.86170467834899</v>
      </c>
      <c r="G2" s="78" t="s">
        <v>255</v>
      </c>
      <c r="H2" s="63" t="s">
        <v>32</v>
      </c>
      <c r="I2" s="76">
        <v>160.03648337557499</v>
      </c>
      <c r="K2" t="s">
        <v>256</v>
      </c>
      <c r="M2" t="s">
        <v>257</v>
      </c>
    </row>
    <row r="3" spans="1:13" x14ac:dyDescent="0.3">
      <c r="A3" s="78" t="s">
        <v>258</v>
      </c>
      <c r="B3" s="63" t="s">
        <v>40</v>
      </c>
      <c r="C3" s="70">
        <v>698.98001385181396</v>
      </c>
      <c r="D3" s="78" t="s">
        <v>259</v>
      </c>
      <c r="E3" s="63" t="s">
        <v>17</v>
      </c>
      <c r="F3" s="71">
        <v>384.64972970629799</v>
      </c>
      <c r="G3" s="78" t="s">
        <v>260</v>
      </c>
      <c r="H3" s="63" t="s">
        <v>22</v>
      </c>
      <c r="I3" s="71">
        <v>142.99994996727801</v>
      </c>
      <c r="M3" t="s">
        <v>261</v>
      </c>
    </row>
    <row r="4" spans="1:13" x14ac:dyDescent="0.3">
      <c r="A4" s="78" t="s">
        <v>262</v>
      </c>
      <c r="B4" s="63" t="s">
        <v>41</v>
      </c>
      <c r="C4" s="70">
        <v>695.969034366963</v>
      </c>
      <c r="D4" s="78" t="s">
        <v>16</v>
      </c>
      <c r="E4" s="63" t="s">
        <v>16</v>
      </c>
      <c r="F4" s="70">
        <v>371.79463145857397</v>
      </c>
      <c r="G4" s="78" t="s">
        <v>263</v>
      </c>
      <c r="H4" s="63" t="s">
        <v>19</v>
      </c>
      <c r="I4" s="70">
        <v>88.338273491423706</v>
      </c>
      <c r="M4" t="s">
        <v>264</v>
      </c>
    </row>
    <row r="5" spans="1:13" x14ac:dyDescent="0.3">
      <c r="A5" s="78" t="s">
        <v>265</v>
      </c>
      <c r="B5" s="63" t="s">
        <v>25</v>
      </c>
      <c r="C5" s="71">
        <v>621.40187879945699</v>
      </c>
      <c r="D5" s="78" t="s">
        <v>266</v>
      </c>
      <c r="E5" s="63" t="s">
        <v>33</v>
      </c>
      <c r="F5" s="71">
        <v>346.27211147602299</v>
      </c>
      <c r="G5" s="78" t="s">
        <v>267</v>
      </c>
      <c r="H5" s="63" t="s">
        <v>38</v>
      </c>
      <c r="I5" s="71">
        <v>80.782080517897597</v>
      </c>
    </row>
    <row r="6" spans="1:13" x14ac:dyDescent="0.3">
      <c r="A6" s="78" t="s">
        <v>268</v>
      </c>
      <c r="B6" s="63" t="s">
        <v>26</v>
      </c>
      <c r="C6" s="70">
        <v>566.70679152612399</v>
      </c>
      <c r="D6" s="78" t="s">
        <v>269</v>
      </c>
      <c r="E6" s="68" t="s">
        <v>31</v>
      </c>
      <c r="F6" s="74">
        <v>338.04433485605</v>
      </c>
      <c r="G6" s="78" t="s">
        <v>270</v>
      </c>
      <c r="H6" s="63" t="s">
        <v>18</v>
      </c>
      <c r="I6" s="70">
        <v>57.184045304962702</v>
      </c>
    </row>
    <row r="7" spans="1:13" x14ac:dyDescent="0.3">
      <c r="A7" s="78" t="s">
        <v>271</v>
      </c>
      <c r="B7" s="63" t="s">
        <v>24</v>
      </c>
      <c r="C7" s="70">
        <v>486.83130734305701</v>
      </c>
      <c r="D7" s="78" t="s">
        <v>272</v>
      </c>
      <c r="E7" s="63" t="s">
        <v>21</v>
      </c>
      <c r="F7" s="70">
        <v>313.004920833222</v>
      </c>
      <c r="G7" s="78" t="s">
        <v>273</v>
      </c>
      <c r="H7" s="63" t="s">
        <v>29</v>
      </c>
      <c r="I7" s="70">
        <v>43.228378352050299</v>
      </c>
    </row>
    <row r="8" spans="1:13" x14ac:dyDescent="0.3">
      <c r="A8" s="78" t="s">
        <v>274</v>
      </c>
      <c r="B8" s="63" t="s">
        <v>23</v>
      </c>
      <c r="C8" s="70">
        <v>467.46654905238398</v>
      </c>
      <c r="D8" s="78" t="s">
        <v>275</v>
      </c>
      <c r="E8" s="63" t="s">
        <v>20</v>
      </c>
      <c r="F8" s="70">
        <v>221.80270857859901</v>
      </c>
      <c r="G8" s="78" t="s">
        <v>276</v>
      </c>
      <c r="H8" s="63" t="s">
        <v>27</v>
      </c>
      <c r="I8" s="70">
        <v>25.6443395590845</v>
      </c>
    </row>
    <row r="9" spans="1:13" x14ac:dyDescent="0.3">
      <c r="A9" s="78" t="s">
        <v>277</v>
      </c>
      <c r="B9" s="63" t="s">
        <v>34</v>
      </c>
      <c r="C9" s="71">
        <v>448.47052447612998</v>
      </c>
      <c r="D9" s="78" t="s">
        <v>278</v>
      </c>
      <c r="E9" s="63" t="s">
        <v>279</v>
      </c>
      <c r="F9" s="70">
        <v>169.75148103704001</v>
      </c>
      <c r="G9" s="78" t="s">
        <v>280</v>
      </c>
      <c r="H9" s="63" t="s">
        <v>36</v>
      </c>
      <c r="I9" s="70">
        <v>22.9451551845724</v>
      </c>
    </row>
    <row r="10" spans="1:13" ht="15" thickBot="1" x14ac:dyDescent="0.35">
      <c r="A10" s="124" t="s">
        <v>281</v>
      </c>
      <c r="B10" s="72" t="s">
        <v>28</v>
      </c>
      <c r="C10" s="73">
        <v>439.51701745656698</v>
      </c>
      <c r="D10" s="124" t="s">
        <v>282</v>
      </c>
      <c r="E10" s="72" t="s">
        <v>35</v>
      </c>
      <c r="F10" s="75">
        <v>165.77799599158229</v>
      </c>
      <c r="G10" s="142" t="s">
        <v>283</v>
      </c>
      <c r="H10" s="143"/>
      <c r="I10" s="77">
        <v>481</v>
      </c>
    </row>
    <row r="12" spans="1:13" x14ac:dyDescent="0.3">
      <c r="I12" s="43"/>
    </row>
  </sheetData>
  <mergeCells count="4">
    <mergeCell ref="A1:B1"/>
    <mergeCell ref="D1:E1"/>
    <mergeCell ref="G1:H1"/>
    <mergeCell ref="G10:H10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65483-F7B6-4CAF-9991-5AE3458C3999}">
  <dimension ref="A1:N23"/>
  <sheetViews>
    <sheetView zoomScaleNormal="100" workbookViewId="0">
      <selection activeCell="F2" sqref="F2"/>
    </sheetView>
  </sheetViews>
  <sheetFormatPr defaultColWidth="8.6640625" defaultRowHeight="14.4" x14ac:dyDescent="0.3"/>
  <cols>
    <col min="1" max="1" width="3.6640625" customWidth="1"/>
    <col min="2" max="2" width="11.6640625" style="57" customWidth="1"/>
    <col min="3" max="3" width="14.33203125" customWidth="1"/>
    <col min="4" max="4" width="8.44140625" style="22" customWidth="1"/>
    <col min="6" max="6" width="20.33203125" customWidth="1"/>
    <col min="7" max="7" width="0.6640625" customWidth="1"/>
    <col min="8" max="8" width="15.33203125" customWidth="1"/>
    <col min="9" max="9" width="13.5546875" style="57" customWidth="1"/>
    <col min="10" max="10" width="0.6640625" customWidth="1"/>
    <col min="11" max="11" width="15.33203125" style="22" customWidth="1"/>
    <col min="12" max="12" width="15.5546875" hidden="1" customWidth="1"/>
    <col min="13" max="13" width="0.6640625" customWidth="1"/>
  </cols>
  <sheetData>
    <row r="1" spans="1:13" x14ac:dyDescent="0.3">
      <c r="H1" s="51"/>
      <c r="I1" s="59"/>
      <c r="J1" s="51"/>
      <c r="K1" s="59"/>
      <c r="L1" s="51"/>
      <c r="M1" s="51"/>
    </row>
    <row r="2" spans="1:13" s="44" customFormat="1" ht="42.6" customHeight="1" x14ac:dyDescent="0.3">
      <c r="A2" s="152" t="s">
        <v>284</v>
      </c>
      <c r="B2" s="153" t="s">
        <v>285</v>
      </c>
      <c r="C2" s="153"/>
      <c r="D2" s="154" t="s">
        <v>286</v>
      </c>
      <c r="E2" s="154"/>
      <c r="F2" s="125" t="s">
        <v>287</v>
      </c>
      <c r="G2" s="147"/>
      <c r="H2" s="154" t="s">
        <v>288</v>
      </c>
      <c r="I2" s="154"/>
      <c r="J2" s="147"/>
      <c r="K2" s="154" t="s">
        <v>289</v>
      </c>
      <c r="L2" s="154"/>
      <c r="M2" s="144"/>
    </row>
    <row r="3" spans="1:13" s="44" customFormat="1" ht="73.2" customHeight="1" x14ac:dyDescent="0.3">
      <c r="A3" s="152"/>
      <c r="B3" s="154" t="s">
        <v>290</v>
      </c>
      <c r="C3" s="154"/>
      <c r="D3" s="125" t="s">
        <v>291</v>
      </c>
      <c r="E3" s="125" t="s">
        <v>14</v>
      </c>
      <c r="F3" s="125" t="s">
        <v>292</v>
      </c>
      <c r="G3" s="148"/>
      <c r="H3" s="125" t="s">
        <v>293</v>
      </c>
      <c r="I3" s="125" t="s">
        <v>291</v>
      </c>
      <c r="J3" s="148"/>
      <c r="K3" s="125" t="s">
        <v>294</v>
      </c>
      <c r="L3" s="125" t="s">
        <v>295</v>
      </c>
      <c r="M3" s="145"/>
    </row>
    <row r="4" spans="1:13" x14ac:dyDescent="0.3">
      <c r="A4" s="152"/>
      <c r="B4" s="58" t="s">
        <v>16</v>
      </c>
      <c r="C4" s="63" t="s">
        <v>16</v>
      </c>
      <c r="D4" s="91">
        <f>'Appendix_BC-Networks'!E5</f>
        <v>0.23099483810417645</v>
      </c>
      <c r="E4" s="12">
        <f>'Appendix_BC-Networks'!D5</f>
        <v>15752</v>
      </c>
      <c r="F4" s="50">
        <f>'Table6 - Emissions'!F4</f>
        <v>371.79463145857397</v>
      </c>
      <c r="G4" s="148"/>
      <c r="H4" s="54">
        <f>($E4*$F4*'Table5 - Calculated values'!$D$3)/10^6</f>
        <v>15269933.516775636</v>
      </c>
      <c r="I4" s="52">
        <f>$H4/$H$20</f>
        <v>0.21817307496464688</v>
      </c>
      <c r="J4" s="148"/>
      <c r="K4" s="155">
        <f>$H$20*1000/'Table4 - Overview of systems'!C3</f>
        <v>411.30621368565448</v>
      </c>
      <c r="L4" s="87">
        <f t="shared" ref="L4:L19" si="0">D4/I4</f>
        <v>1.0587687694350334</v>
      </c>
      <c r="M4" s="145"/>
    </row>
    <row r="5" spans="1:13" x14ac:dyDescent="0.3">
      <c r="A5" s="152"/>
      <c r="B5" s="58" t="s">
        <v>259</v>
      </c>
      <c r="C5" s="63" t="s">
        <v>17</v>
      </c>
      <c r="D5" s="91">
        <f>'Appendix_BC-Networks'!E6</f>
        <v>9.9909080244016887E-2</v>
      </c>
      <c r="E5" s="12">
        <f>'Appendix_BC-Networks'!D6</f>
        <v>6813</v>
      </c>
      <c r="F5" s="50">
        <f>'Table6 - Emissions'!F3</f>
        <v>384.64972970629799</v>
      </c>
      <c r="G5" s="148"/>
      <c r="H5" s="54">
        <f>($E5*$F5*'Table5 - Calculated values'!$D$3)/10^6</f>
        <v>6832854.1264275229</v>
      </c>
      <c r="I5" s="52">
        <f>$H5/$H$20</f>
        <v>9.762614839873586E-2</v>
      </c>
      <c r="J5" s="148"/>
      <c r="K5" s="155"/>
      <c r="L5" s="87">
        <f t="shared" si="0"/>
        <v>1.0233844301217008</v>
      </c>
      <c r="M5" s="145"/>
    </row>
    <row r="6" spans="1:13" x14ac:dyDescent="0.3">
      <c r="A6" s="152"/>
      <c r="B6" s="58" t="s">
        <v>270</v>
      </c>
      <c r="C6" s="63" t="s">
        <v>18</v>
      </c>
      <c r="D6" s="91">
        <f>'Appendix_BC-Networks'!E7</f>
        <v>3.4212224307836693E-2</v>
      </c>
      <c r="E6" s="12">
        <f>'Appendix_BC-Networks'!D7</f>
        <v>2333</v>
      </c>
      <c r="F6" s="50">
        <f>'Table6 - Emissions'!I6</f>
        <v>57.184045304962702</v>
      </c>
      <c r="G6" s="148"/>
      <c r="H6" s="54">
        <f>($E6*$F6*'Table5 - Calculated values'!$D$3)/10^6</f>
        <v>347846.74381795205</v>
      </c>
      <c r="I6" s="52">
        <f>$H6/$H$20</f>
        <v>4.9699491901407638E-3</v>
      </c>
      <c r="J6" s="148"/>
      <c r="K6" s="155"/>
      <c r="L6" s="87">
        <f t="shared" si="0"/>
        <v>6.8838177210555545</v>
      </c>
      <c r="M6" s="145"/>
    </row>
    <row r="7" spans="1:13" x14ac:dyDescent="0.3">
      <c r="A7" s="152"/>
      <c r="B7" s="58" t="s">
        <v>260</v>
      </c>
      <c r="C7" s="63" t="s">
        <v>22</v>
      </c>
      <c r="D7" s="91">
        <f>'Appendix_BC-Networks'!E8</f>
        <v>3.3303026748005629E-2</v>
      </c>
      <c r="E7" s="12">
        <f>'Appendix_BC-Networks'!D8</f>
        <v>2271</v>
      </c>
      <c r="F7" s="50">
        <f>'Table6 - Emissions'!I3</f>
        <v>142.99994996727801</v>
      </c>
      <c r="G7" s="148"/>
      <c r="H7" s="54">
        <f>($E7*$F7*'Table5 - Calculated values'!$D$3)/10^6</f>
        <v>846742.48002107861</v>
      </c>
      <c r="I7" s="52">
        <f t="shared" ref="I7:I18" si="1">$H7/$H$20</f>
        <v>1.2098049435934828E-2</v>
      </c>
      <c r="J7" s="148"/>
      <c r="K7" s="155"/>
      <c r="L7" s="87">
        <f t="shared" si="0"/>
        <v>2.7527600151050526</v>
      </c>
      <c r="M7" s="145"/>
    </row>
    <row r="8" spans="1:13" x14ac:dyDescent="0.3">
      <c r="A8" s="152"/>
      <c r="B8" s="58" t="s">
        <v>275</v>
      </c>
      <c r="C8" s="63" t="s">
        <v>20</v>
      </c>
      <c r="D8" s="91">
        <f>'Appendix_BC-Networks'!E9</f>
        <v>2.5970788362271235E-2</v>
      </c>
      <c r="E8" s="12">
        <f>'Appendix_BC-Networks'!D9</f>
        <v>1771</v>
      </c>
      <c r="F8" s="50">
        <f>'Table6 - Emissions'!F8</f>
        <v>221.80270857859901</v>
      </c>
      <c r="G8" s="148"/>
      <c r="H8" s="54">
        <f>($E8*$F8*'Table5 - Calculated values'!$D$3)/10^6</f>
        <v>1024197.5558353158</v>
      </c>
      <c r="I8" s="52">
        <f t="shared" si="1"/>
        <v>1.4633484152526301E-2</v>
      </c>
      <c r="J8" s="148"/>
      <c r="K8" s="155"/>
      <c r="L8" s="87">
        <f t="shared" si="0"/>
        <v>1.7747508448141982</v>
      </c>
      <c r="M8" s="145"/>
    </row>
    <row r="9" spans="1:13" x14ac:dyDescent="0.3">
      <c r="A9" s="152"/>
      <c r="B9" s="58" t="s">
        <v>272</v>
      </c>
      <c r="C9" s="63" t="s">
        <v>21</v>
      </c>
      <c r="D9" s="91">
        <f>'Appendix_BC-Networks'!E10</f>
        <v>2.5076255279211639E-2</v>
      </c>
      <c r="E9" s="12">
        <f>'Appendix_BC-Networks'!D10</f>
        <v>1710</v>
      </c>
      <c r="F9" s="50">
        <f>'Table6 - Emissions'!F7</f>
        <v>313.004920833222</v>
      </c>
      <c r="G9" s="148"/>
      <c r="H9" s="54">
        <f>($E9*$F9*'Table5 - Calculated values'!$D$3)/10^6</f>
        <v>1395550.6528667754</v>
      </c>
      <c r="I9" s="52">
        <f t="shared" si="1"/>
        <v>1.9939286367577875E-2</v>
      </c>
      <c r="J9" s="148"/>
      <c r="K9" s="155"/>
      <c r="L9" s="87">
        <f t="shared" si="0"/>
        <v>1.2576305298461781</v>
      </c>
      <c r="M9" s="145"/>
    </row>
    <row r="10" spans="1:13" x14ac:dyDescent="0.3">
      <c r="A10" s="152"/>
      <c r="B10" s="58" t="s">
        <v>265</v>
      </c>
      <c r="C10" s="63" t="s">
        <v>25</v>
      </c>
      <c r="D10" s="91">
        <f>'Appendix_BC-Networks'!E11</f>
        <v>2.1278155795401221E-2</v>
      </c>
      <c r="E10" s="12">
        <f>'Appendix_BC-Networks'!D11</f>
        <v>1451</v>
      </c>
      <c r="F10" s="50">
        <f>'Table6 - Emissions'!C5</f>
        <v>621.40187879945699</v>
      </c>
      <c r="G10" s="148"/>
      <c r="H10" s="54">
        <f>($E10*$F10*'Table5 - Calculated values'!$D$3)/10^6</f>
        <v>2350922.4487819471</v>
      </c>
      <c r="I10" s="52">
        <f t="shared" si="1"/>
        <v>3.3589404897584614E-2</v>
      </c>
      <c r="J10" s="148"/>
      <c r="K10" s="155"/>
      <c r="L10" s="87">
        <f t="shared" si="0"/>
        <v>0.63347820124468224</v>
      </c>
      <c r="M10" s="145"/>
    </row>
    <row r="11" spans="1:13" x14ac:dyDescent="0.3">
      <c r="A11" s="152"/>
      <c r="B11" s="58" t="s">
        <v>268</v>
      </c>
      <c r="C11" s="63" t="s">
        <v>26</v>
      </c>
      <c r="D11" s="91">
        <f>'Appendix_BC-Networks'!E12</f>
        <v>1.9899694978883154E-2</v>
      </c>
      <c r="E11" s="12">
        <f>'Appendix_BC-Networks'!D12</f>
        <v>1357</v>
      </c>
      <c r="F11" s="50">
        <f>'Table6 - Emissions'!C6</f>
        <v>566.70679152612399</v>
      </c>
      <c r="G11" s="148"/>
      <c r="H11" s="54">
        <f>($E11*$F11*'Table5 - Calculated values'!$D$3)/10^6</f>
        <v>2005102.5698432215</v>
      </c>
      <c r="I11" s="52">
        <f t="shared" si="1"/>
        <v>2.864841505705417E-2</v>
      </c>
      <c r="J11" s="148"/>
      <c r="K11" s="155"/>
      <c r="L11" s="87">
        <f t="shared" si="0"/>
        <v>0.69461765822829358</v>
      </c>
      <c r="M11" s="145"/>
    </row>
    <row r="12" spans="1:13" x14ac:dyDescent="0.3">
      <c r="A12" s="152"/>
      <c r="B12" s="58" t="s">
        <v>273</v>
      </c>
      <c r="C12" s="63" t="s">
        <v>29</v>
      </c>
      <c r="D12" s="91">
        <f>'Appendix_BC-Networks'!E13</f>
        <v>1.7670694509619896E-2</v>
      </c>
      <c r="E12" s="12">
        <f>'Appendix_BC-Networks'!D13</f>
        <v>1205</v>
      </c>
      <c r="F12" s="50">
        <f>'Table6 - Emissions'!I7</f>
        <v>43.228378352050299</v>
      </c>
      <c r="G12" s="148"/>
      <c r="H12" s="54">
        <f>($E12*$F12*'Table5 - Calculated values'!$D$3)/10^6</f>
        <v>135817.05821135067</v>
      </c>
      <c r="I12" s="52">
        <f t="shared" si="1"/>
        <v>1.9405209060058676E-3</v>
      </c>
      <c r="J12" s="148"/>
      <c r="K12" s="155"/>
      <c r="L12" s="87">
        <f t="shared" si="0"/>
        <v>9.106160338149154</v>
      </c>
      <c r="M12" s="145"/>
    </row>
    <row r="13" spans="1:13" x14ac:dyDescent="0.3">
      <c r="A13" s="152"/>
      <c r="B13" s="58" t="s">
        <v>282</v>
      </c>
      <c r="C13" s="63" t="s">
        <v>32</v>
      </c>
      <c r="D13" s="91">
        <f>'Appendix_BC-Networks'!E14</f>
        <v>1.6790825903331769E-2</v>
      </c>
      <c r="E13" s="12">
        <f>'Appendix_BC-Networks'!D14</f>
        <v>1145</v>
      </c>
      <c r="F13" s="50">
        <f>'Table6 - Emissions'!I2</f>
        <v>160.03648337557499</v>
      </c>
      <c r="G13" s="148"/>
      <c r="H13" s="54">
        <f>($E13*$F13*'Table5 - Calculated values'!$D$3)/10^6</f>
        <v>477774.33309014153</v>
      </c>
      <c r="I13" s="52">
        <f t="shared" si="1"/>
        <v>6.8263228045455284E-3</v>
      </c>
      <c r="J13" s="148"/>
      <c r="K13" s="155"/>
      <c r="L13" s="87">
        <f t="shared" si="0"/>
        <v>2.4597175352081289</v>
      </c>
      <c r="M13" s="145"/>
    </row>
    <row r="14" spans="1:13" x14ac:dyDescent="0.3">
      <c r="A14" s="152"/>
      <c r="B14" s="58" t="s">
        <v>266</v>
      </c>
      <c r="C14" s="63" t="s">
        <v>33</v>
      </c>
      <c r="D14" s="91">
        <f>'Appendix_BC-Networks'!E15</f>
        <v>1.6116259971844203E-2</v>
      </c>
      <c r="E14" s="12">
        <f>'Appendix_BC-Networks'!D15</f>
        <v>1099</v>
      </c>
      <c r="F14" s="50">
        <f>'Table6 - Emissions'!F5</f>
        <v>346.27211147602299</v>
      </c>
      <c r="G14" s="148"/>
      <c r="H14" s="54">
        <f>($E14*$F14*'Table5 - Calculated values'!$D$3)/10^6</f>
        <v>992232.70150545728</v>
      </c>
      <c r="I14" s="52">
        <f t="shared" si="1"/>
        <v>1.4176778132668343E-2</v>
      </c>
      <c r="J14" s="148"/>
      <c r="K14" s="155"/>
      <c r="L14" s="87">
        <f t="shared" si="0"/>
        <v>1.1368069543746759</v>
      </c>
      <c r="M14" s="145"/>
    </row>
    <row r="15" spans="1:13" x14ac:dyDescent="0.3">
      <c r="A15" s="152"/>
      <c r="B15" s="58" t="s">
        <v>277</v>
      </c>
      <c r="C15" s="63" t="s">
        <v>34</v>
      </c>
      <c r="D15" s="91">
        <f>'Appendix_BC-Networks'!E16</f>
        <v>1.5984279680900985E-2</v>
      </c>
      <c r="E15" s="12">
        <f>'Appendix_BC-Networks'!D16</f>
        <v>1090</v>
      </c>
      <c r="F15" s="50">
        <f>'Table6 - Emissions'!C9</f>
        <v>448.47052447612998</v>
      </c>
      <c r="G15" s="148"/>
      <c r="H15" s="54">
        <f>($E15*$F15*'Table5 - Calculated values'!$D$3)/10^6</f>
        <v>1274555.4402939193</v>
      </c>
      <c r="I15" s="52">
        <f t="shared" si="1"/>
        <v>1.8210536366536925E-2</v>
      </c>
      <c r="J15" s="148"/>
      <c r="K15" s="155"/>
      <c r="L15" s="87">
        <f t="shared" si="0"/>
        <v>0.87774897779909244</v>
      </c>
      <c r="M15" s="145"/>
    </row>
    <row r="16" spans="1:13" x14ac:dyDescent="0.3">
      <c r="A16" s="152"/>
      <c r="B16" s="58" t="s">
        <v>267</v>
      </c>
      <c r="C16" s="63" t="s">
        <v>38</v>
      </c>
      <c r="D16" s="91">
        <f>'Appendix_BC-Networks'!E17</f>
        <v>1.3579305490380103E-2</v>
      </c>
      <c r="E16" s="12">
        <f>'Appendix_BC-Networks'!D17</f>
        <v>926</v>
      </c>
      <c r="F16" s="50">
        <f>'Table6 - Emissions'!I5</f>
        <v>80.782080517897597</v>
      </c>
      <c r="G16" s="148"/>
      <c r="H16" s="54">
        <f>($E16*$F16*'Table5 - Calculated values'!$D$3)/10^6</f>
        <v>195040.29690128032</v>
      </c>
      <c r="I16" s="52">
        <f t="shared" si="1"/>
        <v>2.7866880540260083E-3</v>
      </c>
      <c r="J16" s="148"/>
      <c r="K16" s="155"/>
      <c r="L16" s="87">
        <f t="shared" si="0"/>
        <v>4.8729191165698253</v>
      </c>
      <c r="M16" s="145"/>
    </row>
    <row r="17" spans="1:14" x14ac:dyDescent="0.3">
      <c r="A17" s="152"/>
      <c r="B17" s="58" t="s">
        <v>263</v>
      </c>
      <c r="C17" s="63" t="s">
        <v>19</v>
      </c>
      <c r="D17" s="91">
        <f>'Appendix_BC-Networks'!E18</f>
        <v>1.2948732989206945E-2</v>
      </c>
      <c r="E17" s="12">
        <f>'Appendix_BC-Networks'!D18</f>
        <v>883</v>
      </c>
      <c r="F17" s="50">
        <f>'Table6 - Emissions'!I4</f>
        <v>88.338273491423706</v>
      </c>
      <c r="G17" s="148"/>
      <c r="H17" s="54">
        <f>($E17*$F17*'Table5 - Calculated values'!$D$3)/10^6</f>
        <v>203379.85773466746</v>
      </c>
      <c r="I17" s="52">
        <f t="shared" si="1"/>
        <v>2.9058416593037211E-3</v>
      </c>
      <c r="J17" s="148"/>
      <c r="K17" s="155"/>
      <c r="L17" s="87">
        <f t="shared" si="0"/>
        <v>4.4561041196957838</v>
      </c>
      <c r="M17" s="145"/>
    </row>
    <row r="18" spans="1:14" x14ac:dyDescent="0.3">
      <c r="A18" s="152"/>
      <c r="B18" s="58" t="s">
        <v>274</v>
      </c>
      <c r="C18" s="63" t="s">
        <v>23</v>
      </c>
      <c r="D18" s="91">
        <f>'Appendix_BC-Networks'!E19</f>
        <v>1.0118488972313468E-2</v>
      </c>
      <c r="E18" s="12">
        <f>'Appendix_BC-Networks'!D19</f>
        <v>690</v>
      </c>
      <c r="F18" s="50">
        <f>'Table6 - Emissions'!C8</f>
        <v>467.46654905238398</v>
      </c>
      <c r="G18" s="148"/>
      <c r="H18" s="54">
        <f>($E18*$F18*'Table5 - Calculated values'!$D$3)/10^6</f>
        <v>841003.80060482991</v>
      </c>
      <c r="I18" s="52">
        <f t="shared" si="1"/>
        <v>1.201605658815302E-2</v>
      </c>
      <c r="J18" s="148"/>
      <c r="K18" s="155"/>
      <c r="L18" s="87">
        <f t="shared" si="0"/>
        <v>0.84208066915144031</v>
      </c>
      <c r="M18" s="145"/>
    </row>
    <row r="19" spans="1:14" x14ac:dyDescent="0.3">
      <c r="A19" s="152"/>
      <c r="B19" s="150"/>
      <c r="C19" s="1" t="s">
        <v>61</v>
      </c>
      <c r="D19" s="91">
        <f>D20-SUM(D4:D18)</f>
        <v>0.40614734866259961</v>
      </c>
      <c r="E19" s="12">
        <f>$E$20-SUM(E4:E18)</f>
        <v>27696</v>
      </c>
      <c r="F19" s="50">
        <f>'Table6 - Emissions'!I10</f>
        <v>481</v>
      </c>
      <c r="G19" s="148"/>
      <c r="H19" s="54">
        <f>($E19*$F19*'Table5 - Calculated values'!$D$3)/10^6</f>
        <v>34734452.322853118</v>
      </c>
      <c r="I19" s="52">
        <f>$H19/$H$20</f>
        <v>0.4962773585205475</v>
      </c>
      <c r="J19" s="148"/>
      <c r="K19" s="155"/>
      <c r="L19" s="87">
        <f t="shared" si="0"/>
        <v>0.81838782626184181</v>
      </c>
      <c r="M19" s="145"/>
    </row>
    <row r="20" spans="1:14" x14ac:dyDescent="0.3">
      <c r="A20" s="152"/>
      <c r="B20" s="151"/>
      <c r="C20" s="47" t="s">
        <v>62</v>
      </c>
      <c r="D20" s="92">
        <v>1</v>
      </c>
      <c r="E20" s="90">
        <f>'Appendix_BC-Networks'!D31</f>
        <v>68192</v>
      </c>
      <c r="F20" s="89"/>
      <c r="G20" s="149"/>
      <c r="H20" s="55">
        <f>'Table4 - Overview of systems'!D3</f>
        <v>69990000</v>
      </c>
      <c r="I20" s="53">
        <f t="shared" ref="I20" si="2">$H20/$H$20</f>
        <v>1</v>
      </c>
      <c r="J20" s="149"/>
      <c r="K20" s="155"/>
      <c r="L20" s="88"/>
      <c r="M20" s="146"/>
    </row>
    <row r="21" spans="1:14" s="43" customFormat="1" x14ac:dyDescent="0.3">
      <c r="A21"/>
      <c r="B21" s="57"/>
      <c r="C21"/>
      <c r="D21" s="22"/>
      <c r="E21"/>
      <c r="F21"/>
      <c r="G21"/>
      <c r="H21"/>
      <c r="I21" s="57"/>
      <c r="J21"/>
      <c r="K21" s="22"/>
      <c r="L21"/>
      <c r="M21"/>
      <c r="N21"/>
    </row>
    <row r="22" spans="1:14" x14ac:dyDescent="0.3">
      <c r="H22" s="81"/>
      <c r="I22" s="83"/>
      <c r="J22" s="81"/>
    </row>
    <row r="23" spans="1:14" x14ac:dyDescent="0.3">
      <c r="H23" s="81"/>
      <c r="I23" s="82"/>
      <c r="J23" s="81"/>
      <c r="K23" s="84"/>
    </row>
  </sheetData>
  <mergeCells count="11">
    <mergeCell ref="M2:M20"/>
    <mergeCell ref="J2:J20"/>
    <mergeCell ref="G2:G20"/>
    <mergeCell ref="B19:B20"/>
    <mergeCell ref="A2:A20"/>
    <mergeCell ref="B2:C2"/>
    <mergeCell ref="D2:E2"/>
    <mergeCell ref="H2:I2"/>
    <mergeCell ref="K2:L2"/>
    <mergeCell ref="B3:C3"/>
    <mergeCell ref="K4:K20"/>
  </mergeCells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7F03-9F78-49D5-A030-40514857CE21}">
  <dimension ref="A1:N23"/>
  <sheetViews>
    <sheetView zoomScaleNormal="100" workbookViewId="0">
      <selection activeCell="H25" sqref="H22:K25"/>
    </sheetView>
  </sheetViews>
  <sheetFormatPr defaultColWidth="8.6640625" defaultRowHeight="14.4" x14ac:dyDescent="0.3"/>
  <cols>
    <col min="1" max="1" width="3.6640625" customWidth="1"/>
    <col min="2" max="2" width="11.6640625" style="57" customWidth="1"/>
    <col min="3" max="3" width="14.33203125" customWidth="1"/>
    <col min="4" max="4" width="8.44140625" style="22" customWidth="1"/>
    <col min="6" max="6" width="20.33203125" customWidth="1"/>
    <col min="7" max="7" width="0.6640625" customWidth="1"/>
    <col min="8" max="8" width="15.33203125" customWidth="1"/>
    <col min="9" max="9" width="13.5546875" style="57" customWidth="1"/>
    <col min="10" max="10" width="0.6640625" customWidth="1"/>
    <col min="11" max="11" width="21.6640625" style="22" customWidth="1"/>
    <col min="12" max="12" width="15.5546875" hidden="1" customWidth="1"/>
    <col min="13" max="13" width="0.6640625" customWidth="1"/>
  </cols>
  <sheetData>
    <row r="1" spans="1:13" x14ac:dyDescent="0.3">
      <c r="H1" s="51"/>
      <c r="I1" s="59"/>
      <c r="J1" s="51"/>
      <c r="K1" s="59"/>
      <c r="L1" s="51"/>
      <c r="M1" s="51"/>
    </row>
    <row r="2" spans="1:13" s="44" customFormat="1" ht="42.6" customHeight="1" x14ac:dyDescent="0.3">
      <c r="A2" s="152" t="s">
        <v>2</v>
      </c>
      <c r="B2" s="153" t="s">
        <v>285</v>
      </c>
      <c r="C2" s="153"/>
      <c r="D2" s="154" t="s">
        <v>286</v>
      </c>
      <c r="E2" s="154"/>
      <c r="F2" s="125" t="s">
        <v>287</v>
      </c>
      <c r="G2" s="147"/>
      <c r="H2" s="154" t="s">
        <v>288</v>
      </c>
      <c r="I2" s="154"/>
      <c r="J2" s="147"/>
      <c r="K2" s="154" t="s">
        <v>296</v>
      </c>
      <c r="L2" s="154"/>
      <c r="M2" s="144"/>
    </row>
    <row r="3" spans="1:13" s="44" customFormat="1" ht="73.2" customHeight="1" x14ac:dyDescent="0.3">
      <c r="A3" s="152"/>
      <c r="B3" s="154" t="s">
        <v>290</v>
      </c>
      <c r="C3" s="154"/>
      <c r="D3" s="125" t="s">
        <v>291</v>
      </c>
      <c r="E3" s="125" t="s">
        <v>14</v>
      </c>
      <c r="F3" s="125" t="s">
        <v>292</v>
      </c>
      <c r="G3" s="148"/>
      <c r="H3" s="125" t="s">
        <v>293</v>
      </c>
      <c r="I3" s="125" t="s">
        <v>291</v>
      </c>
      <c r="J3" s="148"/>
      <c r="K3" s="125" t="s">
        <v>294</v>
      </c>
      <c r="L3" s="125" t="s">
        <v>295</v>
      </c>
      <c r="M3" s="145"/>
    </row>
    <row r="4" spans="1:13" x14ac:dyDescent="0.3">
      <c r="A4" s="152"/>
      <c r="B4" s="58" t="s">
        <v>16</v>
      </c>
      <c r="C4" s="63" t="s">
        <v>16</v>
      </c>
      <c r="D4" s="56">
        <f>'Appendix_BC-Networks'!K5</f>
        <v>0.3161504424778761</v>
      </c>
      <c r="E4" s="3">
        <v>2858</v>
      </c>
      <c r="F4" s="50">
        <f>'Table6 - Emissions'!F4</f>
        <v>371.79463145857397</v>
      </c>
      <c r="G4" s="148"/>
      <c r="H4" s="94">
        <f>($E4*$F4*'Table5 - Calculated values'!$D$4)/10^6</f>
        <v>505.23171070562978</v>
      </c>
      <c r="I4" s="52">
        <f>$H4/$H$20</f>
        <v>0.38467759820436409</v>
      </c>
      <c r="J4" s="148"/>
      <c r="K4" s="155">
        <f>$H$20*10^6/'Table4 - Overview of systems'!$C$4</f>
        <v>2.4674818398980234</v>
      </c>
      <c r="L4" s="87">
        <f t="shared" ref="L4:L19" si="0">D4/I4</f>
        <v>0.82185821049531926</v>
      </c>
      <c r="M4" s="145"/>
    </row>
    <row r="5" spans="1:13" x14ac:dyDescent="0.3">
      <c r="A5" s="152"/>
      <c r="B5" s="58" t="s">
        <v>259</v>
      </c>
      <c r="C5" s="63" t="s">
        <v>17</v>
      </c>
      <c r="D5" s="56">
        <f>'Appendix_BC-Networks'!K6</f>
        <v>0.14966814159292036</v>
      </c>
      <c r="E5" s="3">
        <v>1353</v>
      </c>
      <c r="F5" s="50">
        <f>'Table6 - Emissions'!F3</f>
        <v>384.64972970629799</v>
      </c>
      <c r="G5" s="148"/>
      <c r="H5" s="94">
        <f>($E5*$F5*'Table5 - Calculated values'!$D$4)/10^6</f>
        <v>247.45058812858903</v>
      </c>
      <c r="I5" s="52">
        <f>$H5/$H$20</f>
        <v>0.18840602420346508</v>
      </c>
      <c r="J5" s="148"/>
      <c r="K5" s="155"/>
      <c r="L5" s="87">
        <f t="shared" si="0"/>
        <v>0.79439148628968159</v>
      </c>
      <c r="M5" s="145"/>
    </row>
    <row r="6" spans="1:13" x14ac:dyDescent="0.3">
      <c r="A6" s="152"/>
      <c r="B6" s="58" t="s">
        <v>263</v>
      </c>
      <c r="C6" s="63" t="s">
        <v>19</v>
      </c>
      <c r="D6" s="56">
        <f>'Appendix_BC-Networks'!K7</f>
        <v>6.1061946902654866E-2</v>
      </c>
      <c r="E6" s="3">
        <v>552</v>
      </c>
      <c r="F6" s="50">
        <f>'Table6 - Emissions'!I4</f>
        <v>88.338273491423706</v>
      </c>
      <c r="G6" s="148"/>
      <c r="H6" s="94">
        <f>($E6*$F6*'Table5 - Calculated values'!$D$4)/10^6</f>
        <v>23.18532814619358</v>
      </c>
      <c r="I6" s="52">
        <f>$H6/$H$20</f>
        <v>1.765304147754557E-2</v>
      </c>
      <c r="J6" s="148"/>
      <c r="K6" s="155"/>
      <c r="L6" s="87">
        <f t="shared" si="0"/>
        <v>3.4590043296689035</v>
      </c>
      <c r="M6" s="145"/>
    </row>
    <row r="7" spans="1:13" x14ac:dyDescent="0.3">
      <c r="A7" s="152"/>
      <c r="B7" s="58" t="s">
        <v>270</v>
      </c>
      <c r="C7" s="63" t="s">
        <v>18</v>
      </c>
      <c r="D7" s="56">
        <f>'Appendix_BC-Networks'!K8</f>
        <v>5.8738938053097343E-2</v>
      </c>
      <c r="E7" s="3">
        <v>531</v>
      </c>
      <c r="F7" s="50">
        <f>'Table6 - Emissions'!I6</f>
        <v>57.184045304962702</v>
      </c>
      <c r="G7" s="148"/>
      <c r="H7" s="94">
        <f>($E7*$F7*'Table5 - Calculated values'!$D$4)/10^6</f>
        <v>14.437588458548987</v>
      </c>
      <c r="I7" s="52">
        <f t="shared" ref="I7:I18" si="1">$H7/$H$20</f>
        <v>1.0992613358217274E-2</v>
      </c>
      <c r="J7" s="148"/>
      <c r="K7" s="155"/>
      <c r="L7" s="87">
        <f t="shared" si="0"/>
        <v>5.343491682911635</v>
      </c>
      <c r="M7" s="145"/>
    </row>
    <row r="8" spans="1:13" x14ac:dyDescent="0.3">
      <c r="A8" s="152"/>
      <c r="B8" s="58" t="s">
        <v>275</v>
      </c>
      <c r="C8" s="63" t="s">
        <v>20</v>
      </c>
      <c r="D8" s="56">
        <f>'Appendix_BC-Networks'!K9</f>
        <v>4.1814159292035399E-2</v>
      </c>
      <c r="E8" s="3">
        <v>378</v>
      </c>
      <c r="F8" s="50">
        <f>'Table6 - Emissions'!F8</f>
        <v>221.80270857859901</v>
      </c>
      <c r="G8" s="148"/>
      <c r="H8" s="94">
        <f>($E8*$F8*'Table5 - Calculated values'!$D$4)/10^6</f>
        <v>39.864278413761831</v>
      </c>
      <c r="I8" s="52">
        <f t="shared" si="1"/>
        <v>3.0352201869788736E-2</v>
      </c>
      <c r="J8" s="148"/>
      <c r="K8" s="155"/>
      <c r="L8" s="87">
        <f t="shared" si="0"/>
        <v>1.3776318262318688</v>
      </c>
      <c r="M8" s="145"/>
    </row>
    <row r="9" spans="1:13" x14ac:dyDescent="0.3">
      <c r="A9" s="152"/>
      <c r="B9" s="58" t="s">
        <v>271</v>
      </c>
      <c r="C9" s="63" t="s">
        <v>24</v>
      </c>
      <c r="D9" s="56">
        <f>'Appendix_BC-Networks'!K10</f>
        <v>3.8606194690265487E-2</v>
      </c>
      <c r="E9" s="3">
        <v>349</v>
      </c>
      <c r="F9" s="50">
        <f>'Table6 - Emissions'!C7</f>
        <v>486.83130734305701</v>
      </c>
      <c r="G9" s="148"/>
      <c r="H9" s="94">
        <f>($E9*$F9*'Table5 - Calculated values'!$D$4)/10^6</f>
        <v>80.784713361868498</v>
      </c>
      <c r="I9" s="52">
        <f t="shared" si="1"/>
        <v>6.1508549145241315E-2</v>
      </c>
      <c r="J9" s="148"/>
      <c r="K9" s="155"/>
      <c r="L9" s="87">
        <f t="shared" si="0"/>
        <v>0.62765575235897597</v>
      </c>
      <c r="M9" s="145"/>
    </row>
    <row r="10" spans="1:13" x14ac:dyDescent="0.3">
      <c r="A10" s="152"/>
      <c r="B10" s="58" t="s">
        <v>260</v>
      </c>
      <c r="C10" s="63" t="s">
        <v>22</v>
      </c>
      <c r="D10" s="56">
        <f>'Appendix_BC-Networks'!K11</f>
        <v>3.4845132743362831E-2</v>
      </c>
      <c r="E10" s="3">
        <v>315</v>
      </c>
      <c r="F10" s="50">
        <f>'Table6 - Emissions'!I3</f>
        <v>142.99994996727801</v>
      </c>
      <c r="G10" s="148"/>
      <c r="H10" s="94">
        <f>($E10*$F10*'Table5 - Calculated values'!$D$4)/10^6</f>
        <v>21.417644292914094</v>
      </c>
      <c r="I10" s="52">
        <f t="shared" si="1"/>
        <v>1.6307147376570623E-2</v>
      </c>
      <c r="J10" s="148"/>
      <c r="K10" s="155"/>
      <c r="L10" s="87">
        <f t="shared" si="0"/>
        <v>2.1368012405055437</v>
      </c>
      <c r="M10" s="145"/>
    </row>
    <row r="11" spans="1:13" x14ac:dyDescent="0.3">
      <c r="A11" s="152"/>
      <c r="B11" s="58" t="s">
        <v>272</v>
      </c>
      <c r="C11" s="63" t="s">
        <v>21</v>
      </c>
      <c r="D11" s="56">
        <f>'Appendix_BC-Networks'!K12</f>
        <v>2.8429203539823009E-2</v>
      </c>
      <c r="E11" s="3">
        <v>257</v>
      </c>
      <c r="F11" s="50">
        <f>'Table6 - Emissions'!F7</f>
        <v>313.004920833222</v>
      </c>
      <c r="G11" s="148"/>
      <c r="H11" s="94">
        <f>($E11*$F11*'Table5 - Calculated values'!$D$4)/10^6</f>
        <v>38.248072222891814</v>
      </c>
      <c r="I11" s="52">
        <f t="shared" si="1"/>
        <v>2.9121641114133512E-2</v>
      </c>
      <c r="J11" s="148"/>
      <c r="K11" s="155"/>
      <c r="L11" s="87">
        <f t="shared" si="0"/>
        <v>0.9762225771687556</v>
      </c>
      <c r="M11" s="145"/>
    </row>
    <row r="12" spans="1:13" x14ac:dyDescent="0.3">
      <c r="A12" s="152"/>
      <c r="B12" s="58" t="s">
        <v>274</v>
      </c>
      <c r="C12" s="63" t="s">
        <v>23</v>
      </c>
      <c r="D12" s="56">
        <f>'Appendix_BC-Networks'!K13</f>
        <v>2.8097345132743364E-2</v>
      </c>
      <c r="E12" s="3">
        <v>254</v>
      </c>
      <c r="F12" s="50">
        <f>'Table6 - Emissions'!C8</f>
        <v>467.46654905238398</v>
      </c>
      <c r="G12" s="148"/>
      <c r="H12" s="94">
        <f>($E12*$F12*'Table5 - Calculated values'!$D$4)/10^6</f>
        <v>56.455923752658101</v>
      </c>
      <c r="I12" s="52">
        <f t="shared" si="1"/>
        <v>4.2984889296140597E-2</v>
      </c>
      <c r="J12" s="148"/>
      <c r="K12" s="155"/>
      <c r="L12" s="87">
        <f t="shared" si="0"/>
        <v>0.65365633348894281</v>
      </c>
      <c r="M12" s="145"/>
    </row>
    <row r="13" spans="1:13" x14ac:dyDescent="0.3">
      <c r="A13" s="152"/>
      <c r="B13" s="58" t="s">
        <v>281</v>
      </c>
      <c r="C13" s="63" t="s">
        <v>28</v>
      </c>
      <c r="D13" s="56">
        <f>'Appendix_BC-Networks'!K14</f>
        <v>2.3561946902654868E-2</v>
      </c>
      <c r="E13" s="3">
        <v>213</v>
      </c>
      <c r="F13" s="50">
        <f>'Table6 - Emissions'!C10</f>
        <v>439.51701745656698</v>
      </c>
      <c r="G13" s="148"/>
      <c r="H13" s="94">
        <f>($E13*$F13*'Table5 - Calculated values'!$D$4)/10^6</f>
        <v>44.512353834370266</v>
      </c>
      <c r="I13" s="52">
        <f t="shared" si="1"/>
        <v>3.3891192893481956E-2</v>
      </c>
      <c r="J13" s="148"/>
      <c r="K13" s="155"/>
      <c r="L13" s="87">
        <f t="shared" si="0"/>
        <v>0.69522329817981598</v>
      </c>
      <c r="M13" s="145"/>
    </row>
    <row r="14" spans="1:13" x14ac:dyDescent="0.3">
      <c r="A14" s="152"/>
      <c r="B14" s="58" t="s">
        <v>269</v>
      </c>
      <c r="C14" s="63" t="s">
        <v>31</v>
      </c>
      <c r="D14" s="56">
        <f>'Appendix_BC-Networks'!K15</f>
        <v>2.1128318584070795E-2</v>
      </c>
      <c r="E14" s="3">
        <v>191</v>
      </c>
      <c r="F14" s="50">
        <f>'Table6 - Emissions'!F6</f>
        <v>338.04433485605</v>
      </c>
      <c r="G14" s="148"/>
      <c r="H14" s="94">
        <f>($E14*$F14*'Table5 - Calculated values'!$D$4)/10^6</f>
        <v>30.699569936693297</v>
      </c>
      <c r="I14" s="52">
        <f t="shared" si="1"/>
        <v>2.3374298522672851E-2</v>
      </c>
      <c r="J14" s="148"/>
      <c r="K14" s="155"/>
      <c r="L14" s="87">
        <f t="shared" si="0"/>
        <v>0.90391241318221904</v>
      </c>
      <c r="M14" s="145"/>
    </row>
    <row r="15" spans="1:13" x14ac:dyDescent="0.3">
      <c r="A15" s="152"/>
      <c r="B15" s="58" t="s">
        <v>255</v>
      </c>
      <c r="C15" s="63" t="s">
        <v>35</v>
      </c>
      <c r="D15" s="56">
        <f>'Appendix_BC-Networks'!K16</f>
        <v>1.924778761061947E-2</v>
      </c>
      <c r="E15" s="3">
        <v>174</v>
      </c>
      <c r="F15" s="50">
        <f>'Table6 - Emissions'!F10</f>
        <v>165.77799599158229</v>
      </c>
      <c r="G15" s="148"/>
      <c r="H15" s="94">
        <f>($E15*$F15*'Table5 - Calculated values'!$D$4)/10^6</f>
        <v>13.715176339441204</v>
      </c>
      <c r="I15" s="52">
        <f t="shared" si="1"/>
        <v>1.0442577101577751E-2</v>
      </c>
      <c r="J15" s="148"/>
      <c r="K15" s="155"/>
      <c r="L15" s="87">
        <f t="shared" si="0"/>
        <v>1.843202824685044</v>
      </c>
      <c r="M15" s="145"/>
    </row>
    <row r="16" spans="1:13" x14ac:dyDescent="0.3">
      <c r="A16" s="152"/>
      <c r="B16" s="58" t="s">
        <v>273</v>
      </c>
      <c r="C16" s="63" t="s">
        <v>29</v>
      </c>
      <c r="D16" s="56">
        <f>'Appendix_BC-Networks'!K17</f>
        <v>1.7699115044247787E-2</v>
      </c>
      <c r="E16" s="3">
        <v>160</v>
      </c>
      <c r="F16" s="50">
        <f>'Table6 - Emissions'!I7</f>
        <v>43.228378352050299</v>
      </c>
      <c r="G16" s="148"/>
      <c r="H16" s="94">
        <f>($E16*$F16*'Table5 - Calculated values'!$D$4)/10^6</f>
        <v>3.2886237490135795</v>
      </c>
      <c r="I16" s="52">
        <f t="shared" si="1"/>
        <v>2.5039201981236184E-3</v>
      </c>
      <c r="J16" s="148"/>
      <c r="K16" s="155"/>
      <c r="L16" s="87">
        <f t="shared" si="0"/>
        <v>7.0685619523781575</v>
      </c>
      <c r="M16" s="145"/>
    </row>
    <row r="17" spans="1:14" x14ac:dyDescent="0.3">
      <c r="A17" s="152"/>
      <c r="B17" s="58" t="s">
        <v>265</v>
      </c>
      <c r="C17" s="63" t="s">
        <v>25</v>
      </c>
      <c r="D17" s="56">
        <f>'Appendix_BC-Networks'!K18</f>
        <v>1.1283185840707964E-2</v>
      </c>
      <c r="E17" s="3">
        <v>102</v>
      </c>
      <c r="F17" s="50">
        <f>'Table6 - Emissions'!C5</f>
        <v>621.40187879945699</v>
      </c>
      <c r="G17" s="148"/>
      <c r="H17" s="94">
        <f>($E17*$F17*'Table5 - Calculated values'!$D$4)/10^6</f>
        <v>30.136859675432397</v>
      </c>
      <c r="I17" s="52">
        <f t="shared" si="1"/>
        <v>2.2945857418917758E-2</v>
      </c>
      <c r="J17" s="148"/>
      <c r="K17" s="155"/>
      <c r="L17" s="87">
        <f t="shared" si="0"/>
        <v>0.49173084425276342</v>
      </c>
      <c r="M17" s="145"/>
    </row>
    <row r="18" spans="1:14" x14ac:dyDescent="0.3">
      <c r="A18" s="152"/>
      <c r="B18" s="58" t="s">
        <v>258</v>
      </c>
      <c r="C18" s="63" t="s">
        <v>40</v>
      </c>
      <c r="D18" s="56">
        <f>'Appendix_BC-Networks'!K19</f>
        <v>1.0951327433628319E-2</v>
      </c>
      <c r="E18" s="3">
        <v>99</v>
      </c>
      <c r="F18" s="50">
        <f>'Table6 - Emissions'!C3</f>
        <v>698.98001385181396</v>
      </c>
      <c r="G18" s="148"/>
      <c r="H18" s="94">
        <f>($E18*$F18*'Table5 - Calculated values'!$D$4)/10^6</f>
        <v>32.902220972316904</v>
      </c>
      <c r="I18" s="52">
        <f t="shared" si="1"/>
        <v>2.505137162024753E-2</v>
      </c>
      <c r="J18" s="148"/>
      <c r="K18" s="155"/>
      <c r="L18" s="87">
        <f t="shared" si="0"/>
        <v>0.43715480332330442</v>
      </c>
      <c r="M18" s="145"/>
    </row>
    <row r="19" spans="1:14" x14ac:dyDescent="0.3">
      <c r="A19" s="152"/>
      <c r="B19" s="150"/>
      <c r="C19" s="1" t="s">
        <v>61</v>
      </c>
      <c r="D19" s="56">
        <f>D20-SUM(D4:D18)</f>
        <v>0.13871681415929182</v>
      </c>
      <c r="E19" s="12">
        <f>$E$20-SUM(E4:E18)</f>
        <v>1254</v>
      </c>
      <c r="F19" s="50">
        <f>'Table6 - Emissions'!I10</f>
        <v>481</v>
      </c>
      <c r="G19" s="148"/>
      <c r="H19" s="94">
        <f>($E19*$F19*'Table5 - Calculated values'!$D$4)/10^6</f>
        <v>286.79255630309734</v>
      </c>
      <c r="I19" s="52">
        <f>$H19/$H$20</f>
        <v>0.21836054508036251</v>
      </c>
      <c r="J19" s="148"/>
      <c r="K19" s="155"/>
      <c r="L19" s="87">
        <f t="shared" si="0"/>
        <v>0.63526501139773361</v>
      </c>
      <c r="M19" s="145"/>
    </row>
    <row r="20" spans="1:14" x14ac:dyDescent="0.3">
      <c r="A20" s="152"/>
      <c r="B20" s="151"/>
      <c r="C20" s="47" t="s">
        <v>62</v>
      </c>
      <c r="D20" s="93">
        <v>1</v>
      </c>
      <c r="E20" s="90">
        <f>'Appendix_BC-Networks'!J31</f>
        <v>9040</v>
      </c>
      <c r="F20" s="89"/>
      <c r="G20" s="149"/>
      <c r="H20" s="95">
        <f>'Table4 - Overview of systems'!D4</f>
        <v>1313.39</v>
      </c>
      <c r="I20" s="53">
        <f t="shared" ref="I20" si="2">$H20/$H$20</f>
        <v>1</v>
      </c>
      <c r="J20" s="149"/>
      <c r="K20" s="155"/>
      <c r="L20" s="88"/>
      <c r="M20" s="146"/>
    </row>
    <row r="21" spans="1:14" s="43" customFormat="1" x14ac:dyDescent="0.3">
      <c r="A21"/>
      <c r="B21" s="57"/>
      <c r="C21"/>
      <c r="D21" s="22"/>
      <c r="E21"/>
      <c r="F21"/>
      <c r="G21"/>
      <c r="H21"/>
      <c r="I21" s="57"/>
      <c r="J21"/>
      <c r="K21" s="22"/>
      <c r="L21"/>
      <c r="M21"/>
      <c r="N21"/>
    </row>
    <row r="22" spans="1:14" x14ac:dyDescent="0.3">
      <c r="H22" s="81"/>
      <c r="I22" s="83"/>
      <c r="J22" s="81"/>
    </row>
    <row r="23" spans="1:14" x14ac:dyDescent="0.3">
      <c r="H23" s="81"/>
      <c r="I23" s="82"/>
      <c r="J23" s="81"/>
      <c r="K23" s="84"/>
    </row>
  </sheetData>
  <mergeCells count="11">
    <mergeCell ref="A2:A20"/>
    <mergeCell ref="B2:C2"/>
    <mergeCell ref="D2:E2"/>
    <mergeCell ref="G2:G20"/>
    <mergeCell ref="H2:I2"/>
    <mergeCell ref="K2:L2"/>
    <mergeCell ref="M2:M20"/>
    <mergeCell ref="B3:C3"/>
    <mergeCell ref="K4:K20"/>
    <mergeCell ref="B19:B20"/>
    <mergeCell ref="J2:J20"/>
  </mergeCells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087D6-8EE7-4089-B2A4-EB14E8B56D26}">
  <dimension ref="A1:N23"/>
  <sheetViews>
    <sheetView zoomScaleNormal="100" workbookViewId="0">
      <selection activeCell="U18" sqref="U18"/>
    </sheetView>
  </sheetViews>
  <sheetFormatPr defaultColWidth="8.6640625" defaultRowHeight="14.4" x14ac:dyDescent="0.3"/>
  <cols>
    <col min="1" max="1" width="3.6640625" customWidth="1"/>
    <col min="2" max="2" width="11.6640625" style="57" customWidth="1"/>
    <col min="3" max="3" width="14.33203125" customWidth="1"/>
    <col min="4" max="4" width="8.44140625" style="22" customWidth="1"/>
    <col min="6" max="6" width="20.33203125" customWidth="1"/>
    <col min="7" max="7" width="0.6640625" customWidth="1"/>
    <col min="8" max="8" width="15.33203125" customWidth="1"/>
    <col min="9" max="9" width="13.5546875" style="57" customWidth="1"/>
    <col min="10" max="10" width="0.6640625" customWidth="1"/>
    <col min="11" max="11" width="21.33203125" style="22" customWidth="1"/>
    <col min="12" max="12" width="15.5546875" hidden="1" customWidth="1"/>
    <col min="13" max="13" width="0.6640625" customWidth="1"/>
  </cols>
  <sheetData>
    <row r="1" spans="1:13" x14ac:dyDescent="0.3">
      <c r="H1" s="51"/>
      <c r="I1" s="59"/>
      <c r="J1" s="51"/>
      <c r="K1" s="59"/>
      <c r="L1" s="51"/>
      <c r="M1" s="51"/>
    </row>
    <row r="2" spans="1:13" s="44" customFormat="1" ht="31.5" customHeight="1" x14ac:dyDescent="0.3">
      <c r="A2" s="152" t="s">
        <v>3</v>
      </c>
      <c r="B2" s="153" t="s">
        <v>285</v>
      </c>
      <c r="C2" s="153"/>
      <c r="D2" s="154" t="s">
        <v>286</v>
      </c>
      <c r="E2" s="154"/>
      <c r="F2" s="125" t="s">
        <v>287</v>
      </c>
      <c r="G2" s="147"/>
      <c r="H2" s="154" t="s">
        <v>288</v>
      </c>
      <c r="I2" s="154"/>
      <c r="J2" s="147"/>
      <c r="K2" s="154" t="s">
        <v>296</v>
      </c>
      <c r="L2" s="154"/>
      <c r="M2" s="144"/>
    </row>
    <row r="3" spans="1:13" s="44" customFormat="1" ht="73.2" customHeight="1" x14ac:dyDescent="0.3">
      <c r="A3" s="152"/>
      <c r="B3" s="154" t="s">
        <v>290</v>
      </c>
      <c r="C3" s="154"/>
      <c r="D3" s="125" t="s">
        <v>291</v>
      </c>
      <c r="E3" s="125" t="s">
        <v>14</v>
      </c>
      <c r="F3" s="125" t="s">
        <v>292</v>
      </c>
      <c r="G3" s="148"/>
      <c r="H3" s="125" t="s">
        <v>293</v>
      </c>
      <c r="I3" s="125" t="s">
        <v>291</v>
      </c>
      <c r="J3" s="148"/>
      <c r="K3" s="125" t="s">
        <v>294</v>
      </c>
      <c r="L3" s="125" t="s">
        <v>295</v>
      </c>
      <c r="M3" s="145"/>
    </row>
    <row r="4" spans="1:13" x14ac:dyDescent="0.3">
      <c r="A4" s="152"/>
      <c r="B4" s="58" t="s">
        <v>259</v>
      </c>
      <c r="C4" s="63" t="s">
        <v>17</v>
      </c>
      <c r="D4" s="56">
        <f>'Appendix_BC-Networks'!Q5</f>
        <v>0.27440725244072522</v>
      </c>
      <c r="E4" s="3">
        <v>787</v>
      </c>
      <c r="F4" s="50">
        <f>'Table6 - Emissions'!F3</f>
        <v>384.64972970629799</v>
      </c>
      <c r="G4" s="148"/>
      <c r="H4" s="94">
        <f>($E4*$F4*'Table5 - Calculated values'!$D$5)/10^6</f>
        <v>46.115090117549663</v>
      </c>
      <c r="I4" s="52">
        <f>$H4/$H$20</f>
        <v>0.30768007817954141</v>
      </c>
      <c r="J4" s="148"/>
      <c r="K4" s="155">
        <f>$H$20*10^6/'Table4 - Overview of systems'!$C$5</f>
        <v>5.3147060945899245</v>
      </c>
      <c r="L4" s="87">
        <f t="shared" ref="L4:L19" si="0">D4/I4</f>
        <v>0.89185901818641511</v>
      </c>
      <c r="M4" s="145"/>
    </row>
    <row r="5" spans="1:13" x14ac:dyDescent="0.3">
      <c r="A5" s="152"/>
      <c r="B5" s="58" t="s">
        <v>16</v>
      </c>
      <c r="C5" s="63" t="s">
        <v>16</v>
      </c>
      <c r="D5" s="56">
        <f>'Appendix_BC-Networks'!Q6</f>
        <v>0.25906555090655509</v>
      </c>
      <c r="E5" s="3">
        <v>743</v>
      </c>
      <c r="F5" s="50">
        <f>'Table6 - Emissions'!F4</f>
        <v>371.79463145857397</v>
      </c>
      <c r="G5" s="148"/>
      <c r="H5" s="94">
        <f>($E5*$F5*'Table5 - Calculated values'!$D$5)/10^6</f>
        <v>42.081850188911602</v>
      </c>
      <c r="I5" s="52">
        <f>$H5/$H$20</f>
        <v>0.28077028415340005</v>
      </c>
      <c r="J5" s="148"/>
      <c r="K5" s="155"/>
      <c r="L5" s="87">
        <f t="shared" si="0"/>
        <v>0.92269576065611525</v>
      </c>
      <c r="M5" s="145"/>
    </row>
    <row r="6" spans="1:13" x14ac:dyDescent="0.3">
      <c r="A6" s="152"/>
      <c r="B6" s="58" t="s">
        <v>275</v>
      </c>
      <c r="C6" s="63" t="s">
        <v>20</v>
      </c>
      <c r="D6" s="56">
        <f>'Appendix_BC-Networks'!Q7</f>
        <v>6.0669456066945605E-2</v>
      </c>
      <c r="E6" s="3">
        <v>174</v>
      </c>
      <c r="F6" s="50">
        <f>'Table6 - Emissions'!F8</f>
        <v>221.80270857859901</v>
      </c>
      <c r="G6" s="148"/>
      <c r="H6" s="94">
        <f>($E6*$F6*'Table5 - Calculated values'!$D$5)/10^6</f>
        <v>5.879210246781815</v>
      </c>
      <c r="I6" s="52">
        <f>$H6/$H$20</f>
        <v>3.9226115871242431E-2</v>
      </c>
      <c r="J6" s="148"/>
      <c r="K6" s="155"/>
      <c r="L6" s="87">
        <f t="shared" si="0"/>
        <v>1.5466597882413278</v>
      </c>
      <c r="M6" s="145"/>
    </row>
    <row r="7" spans="1:13" x14ac:dyDescent="0.3">
      <c r="A7" s="152"/>
      <c r="B7" s="58" t="s">
        <v>272</v>
      </c>
      <c r="C7" s="63" t="s">
        <v>21</v>
      </c>
      <c r="D7" s="56">
        <f>'Appendix_BC-Networks'!Q8</f>
        <v>4.9511854951185492E-2</v>
      </c>
      <c r="E7" s="3">
        <v>142</v>
      </c>
      <c r="F7" s="50">
        <f>'Table6 - Emissions'!F7</f>
        <v>313.004920833222</v>
      </c>
      <c r="G7" s="148"/>
      <c r="H7" s="94">
        <f>($E7*$F7*'Table5 - Calculated values'!$D$5)/10^6</f>
        <v>6.770837757150951</v>
      </c>
      <c r="I7" s="52">
        <f t="shared" ref="I7:I18" si="1">$H7/$H$20</f>
        <v>4.5175058427748542E-2</v>
      </c>
      <c r="J7" s="148"/>
      <c r="K7" s="155"/>
      <c r="L7" s="87">
        <f t="shared" si="0"/>
        <v>1.095999798879576</v>
      </c>
      <c r="M7" s="145"/>
    </row>
    <row r="8" spans="1:13" x14ac:dyDescent="0.3">
      <c r="A8" s="152"/>
      <c r="B8" s="58" t="s">
        <v>270</v>
      </c>
      <c r="C8" s="63" t="s">
        <v>18</v>
      </c>
      <c r="D8" s="56">
        <f>'Appendix_BC-Networks'!Q9</f>
        <v>3.9400278940027893E-2</v>
      </c>
      <c r="E8" s="3">
        <v>113</v>
      </c>
      <c r="F8" s="50">
        <f>'Table6 - Emissions'!I6</f>
        <v>57.184045304962702</v>
      </c>
      <c r="G8" s="148"/>
      <c r="H8" s="94">
        <f>($E8*$F8*'Table5 - Calculated values'!$D$5)/10^6</f>
        <v>0.98436511906988056</v>
      </c>
      <c r="I8" s="52">
        <f t="shared" si="1"/>
        <v>6.5676882777547414E-3</v>
      </c>
      <c r="J8" s="148"/>
      <c r="K8" s="155"/>
      <c r="L8" s="87">
        <f t="shared" si="0"/>
        <v>5.9991091650131487</v>
      </c>
      <c r="M8" s="145"/>
    </row>
    <row r="9" spans="1:13" x14ac:dyDescent="0.3">
      <c r="A9" s="152"/>
      <c r="B9" s="58" t="s">
        <v>274</v>
      </c>
      <c r="C9" s="63" t="s">
        <v>23</v>
      </c>
      <c r="D9" s="56">
        <f>'Appendix_BC-Networks'!Q10</f>
        <v>4.5676429567642958E-2</v>
      </c>
      <c r="E9" s="3">
        <v>131</v>
      </c>
      <c r="F9" s="50">
        <f>'Table6 - Emissions'!C8</f>
        <v>467.46654905238398</v>
      </c>
      <c r="G9" s="148"/>
      <c r="H9" s="94">
        <f>($E9*$F9*'Table5 - Calculated values'!$D$5)/10^6</f>
        <v>9.328777448329582</v>
      </c>
      <c r="I9" s="52">
        <f t="shared" si="1"/>
        <v>6.2241642969906474E-2</v>
      </c>
      <c r="J9" s="148"/>
      <c r="K9" s="155"/>
      <c r="L9" s="87">
        <f t="shared" si="0"/>
        <v>0.73385642454405142</v>
      </c>
      <c r="M9" s="145"/>
    </row>
    <row r="10" spans="1:13" x14ac:dyDescent="0.3">
      <c r="A10" s="152"/>
      <c r="B10" s="58" t="s">
        <v>260</v>
      </c>
      <c r="C10" s="63" t="s">
        <v>22</v>
      </c>
      <c r="D10" s="56">
        <f>'Appendix_BC-Networks'!Q11</f>
        <v>5.3695955369595538E-2</v>
      </c>
      <c r="E10" s="3">
        <v>154</v>
      </c>
      <c r="F10" s="50">
        <f>'Table6 - Emissions'!I3</f>
        <v>142.99994996727801</v>
      </c>
      <c r="G10" s="148"/>
      <c r="H10" s="94">
        <f>($E10*$F10*'Table5 - Calculated values'!$D$5)/10^6</f>
        <v>3.3547449210838147</v>
      </c>
      <c r="I10" s="52">
        <f t="shared" si="1"/>
        <v>2.2382872438509574E-2</v>
      </c>
      <c r="J10" s="148"/>
      <c r="K10" s="155"/>
      <c r="L10" s="87">
        <f t="shared" si="0"/>
        <v>2.3989751769845244</v>
      </c>
      <c r="M10" s="145"/>
    </row>
    <row r="11" spans="1:13" x14ac:dyDescent="0.3">
      <c r="A11" s="152"/>
      <c r="B11" s="58" t="s">
        <v>276</v>
      </c>
      <c r="C11" s="63" t="s">
        <v>27</v>
      </c>
      <c r="D11" s="56">
        <f>'Appendix_BC-Networks'!Q12</f>
        <v>1.3249651324965132E-2</v>
      </c>
      <c r="E11" s="3">
        <v>38</v>
      </c>
      <c r="F11" s="50">
        <f>'Table6 - Emissions'!I8</f>
        <v>25.6443395590845</v>
      </c>
      <c r="G11" s="148"/>
      <c r="H11" s="94">
        <f>($E11*$F11*'Table5 - Calculated values'!$D$5)/10^6</f>
        <v>0.14844925182281477</v>
      </c>
      <c r="I11" s="52">
        <f t="shared" si="1"/>
        <v>9.9045404205240712E-4</v>
      </c>
      <c r="J11" s="148"/>
      <c r="K11" s="155"/>
      <c r="L11" s="87">
        <f t="shared" si="0"/>
        <v>13.377350954628204</v>
      </c>
      <c r="M11" s="145"/>
    </row>
    <row r="12" spans="1:13" x14ac:dyDescent="0.3">
      <c r="A12" s="152"/>
      <c r="B12" s="58" t="s">
        <v>263</v>
      </c>
      <c r="C12" s="63" t="s">
        <v>19</v>
      </c>
      <c r="D12" s="56">
        <f>'Appendix_BC-Networks'!Q13</f>
        <v>3.5216178521617854E-2</v>
      </c>
      <c r="E12" s="3">
        <v>101</v>
      </c>
      <c r="F12" s="50">
        <f>'Table6 - Emissions'!I4</f>
        <v>88.338273491423706</v>
      </c>
      <c r="G12" s="148"/>
      <c r="H12" s="94">
        <f>($E12*$F12*'Table5 - Calculated values'!$D$5)/10^6</f>
        <v>1.3591681173391579</v>
      </c>
      <c r="I12" s="52">
        <f t="shared" si="1"/>
        <v>9.0683754826471705E-3</v>
      </c>
      <c r="J12" s="148"/>
      <c r="K12" s="155"/>
      <c r="L12" s="87">
        <f t="shared" si="0"/>
        <v>3.8834054223941132</v>
      </c>
      <c r="M12" s="145"/>
    </row>
    <row r="13" spans="1:13" x14ac:dyDescent="0.3">
      <c r="A13" s="152"/>
      <c r="B13" s="58" t="s">
        <v>269</v>
      </c>
      <c r="C13" s="63" t="s">
        <v>31</v>
      </c>
      <c r="D13" s="56">
        <f>'Appendix_BC-Networks'!Q14</f>
        <v>1.290097629009763E-2</v>
      </c>
      <c r="E13" s="3">
        <v>37</v>
      </c>
      <c r="F13" s="50">
        <f>'Table6 - Emissions'!F6</f>
        <v>338.04433485605</v>
      </c>
      <c r="G13" s="148"/>
      <c r="H13" s="94">
        <f>($E13*$F13*'Table5 - Calculated values'!$D$5)/10^6</f>
        <v>1.905365441509242</v>
      </c>
      <c r="I13" s="52">
        <f t="shared" si="1"/>
        <v>1.2712606361817735E-2</v>
      </c>
      <c r="J13" s="148"/>
      <c r="K13" s="155"/>
      <c r="L13" s="87">
        <f t="shared" si="0"/>
        <v>1.0148175694990182</v>
      </c>
      <c r="M13" s="145"/>
    </row>
    <row r="14" spans="1:13" x14ac:dyDescent="0.3">
      <c r="A14" s="152"/>
      <c r="B14" s="58" t="s">
        <v>281</v>
      </c>
      <c r="C14" s="63" t="s">
        <v>28</v>
      </c>
      <c r="D14" s="56">
        <f>'Appendix_BC-Networks'!Q15</f>
        <v>1.8479776847977684E-2</v>
      </c>
      <c r="E14" s="3">
        <v>53</v>
      </c>
      <c r="F14" s="50">
        <f>'Table6 - Emissions'!C10</f>
        <v>439.51701745656698</v>
      </c>
      <c r="G14" s="148"/>
      <c r="H14" s="94">
        <f>($E14*$F14*'Table5 - Calculated values'!$D$5)/10^6</f>
        <v>3.5485788706830643</v>
      </c>
      <c r="I14" s="52">
        <f t="shared" si="1"/>
        <v>2.3676133377922768E-2</v>
      </c>
      <c r="J14" s="148"/>
      <c r="K14" s="155"/>
      <c r="L14" s="87">
        <f t="shared" si="0"/>
        <v>0.7805234306210439</v>
      </c>
      <c r="M14" s="145"/>
    </row>
    <row r="15" spans="1:13" x14ac:dyDescent="0.3">
      <c r="A15" s="152"/>
      <c r="B15" s="58" t="s">
        <v>268</v>
      </c>
      <c r="C15" s="63" t="s">
        <v>26</v>
      </c>
      <c r="D15" s="56">
        <f>'Appendix_BC-Networks'!Q16</f>
        <v>1.7433751743375175E-2</v>
      </c>
      <c r="E15" s="3">
        <v>50</v>
      </c>
      <c r="F15" s="50">
        <f>'Table6 - Emissions'!C6</f>
        <v>566.70679152612399</v>
      </c>
      <c r="G15" s="148"/>
      <c r="H15" s="94">
        <f>($E15*$F15*'Table5 - Calculated values'!$D$5)/10^6</f>
        <v>4.3164957673947626</v>
      </c>
      <c r="I15" s="52">
        <f t="shared" si="1"/>
        <v>2.8799678191851901E-2</v>
      </c>
      <c r="J15" s="148"/>
      <c r="K15" s="155"/>
      <c r="L15" s="87">
        <f t="shared" si="0"/>
        <v>0.60534536626550184</v>
      </c>
      <c r="M15" s="145"/>
    </row>
    <row r="16" spans="1:13" x14ac:dyDescent="0.3">
      <c r="A16" s="152"/>
      <c r="B16" s="58" t="s">
        <v>253</v>
      </c>
      <c r="C16" s="63" t="s">
        <v>39</v>
      </c>
      <c r="D16" s="56">
        <f>'Appendix_BC-Networks'!Q17</f>
        <v>1.0808926080892609E-2</v>
      </c>
      <c r="E16" s="3">
        <v>31</v>
      </c>
      <c r="F16" s="50">
        <f>'Table6 - Emissions'!C2</f>
        <v>774.59955661899505</v>
      </c>
      <c r="G16" s="148"/>
      <c r="H16" s="94">
        <f>($E16*$F16*'Table5 - Calculated values'!$D$5)/10^6</f>
        <v>3.6579842869218995</v>
      </c>
      <c r="I16" s="52">
        <f t="shared" si="1"/>
        <v>2.4406086782238455E-2</v>
      </c>
      <c r="J16" s="148"/>
      <c r="K16" s="155"/>
      <c r="L16" s="87">
        <f t="shared" si="0"/>
        <v>0.44287829414581986</v>
      </c>
      <c r="M16" s="145"/>
    </row>
    <row r="17" spans="1:14" x14ac:dyDescent="0.3">
      <c r="A17" s="152"/>
      <c r="B17" s="58" t="s">
        <v>271</v>
      </c>
      <c r="C17" s="63" t="s">
        <v>24</v>
      </c>
      <c r="D17" s="56">
        <f>'Appendix_BC-Networks'!Q18</f>
        <v>2.1617852161785217E-2</v>
      </c>
      <c r="E17" s="3">
        <v>62</v>
      </c>
      <c r="F17" s="50">
        <f>'Table6 - Emissions'!C7</f>
        <v>486.83130734305701</v>
      </c>
      <c r="G17" s="148"/>
      <c r="H17" s="94">
        <f>($E17*$F17*'Table5 - Calculated values'!$D$5)/10^6</f>
        <v>4.5980436147305648</v>
      </c>
      <c r="I17" s="52">
        <f t="shared" si="1"/>
        <v>3.0678166631508973E-2</v>
      </c>
      <c r="J17" s="148"/>
      <c r="K17" s="155"/>
      <c r="L17" s="87">
        <f t="shared" si="0"/>
        <v>0.70466571296284453</v>
      </c>
      <c r="M17" s="145"/>
    </row>
    <row r="18" spans="1:14" x14ac:dyDescent="0.3">
      <c r="A18" s="152"/>
      <c r="B18" s="58" t="s">
        <v>255</v>
      </c>
      <c r="C18" s="63" t="s">
        <v>35</v>
      </c>
      <c r="D18" s="56">
        <f>'Appendix_BC-Networks'!Q19</f>
        <v>9.06555090655509E-3</v>
      </c>
      <c r="E18" s="3">
        <v>26</v>
      </c>
      <c r="F18" s="50">
        <f>'Table6 - Emissions'!F10</f>
        <v>165.77799599158229</v>
      </c>
      <c r="G18" s="148"/>
      <c r="H18" s="94">
        <f>($E18*$F18*'Table5 - Calculated values'!$D$5)/10^6</f>
        <v>0.65660340574155507</v>
      </c>
      <c r="I18" s="52">
        <f t="shared" si="1"/>
        <v>4.3808607268585207E-3</v>
      </c>
      <c r="J18" s="148"/>
      <c r="K18" s="155"/>
      <c r="L18" s="87">
        <f t="shared" si="0"/>
        <v>2.0693538260587259</v>
      </c>
      <c r="M18" s="145"/>
    </row>
    <row r="19" spans="1:14" x14ac:dyDescent="0.3">
      <c r="A19" s="152"/>
      <c r="B19" s="150"/>
      <c r="C19" s="1" t="s">
        <v>61</v>
      </c>
      <c r="D19" s="56">
        <f>D20-SUM(D4:D18)</f>
        <v>7.880055788005591E-2</v>
      </c>
      <c r="E19" s="12">
        <f>$E$20-SUM(E4:E18)</f>
        <v>226</v>
      </c>
      <c r="F19" s="50">
        <f>'Table6 - Emissions'!I10</f>
        <v>481</v>
      </c>
      <c r="G19" s="148"/>
      <c r="H19" s="94">
        <f>($E19*$F19*'Table5 - Calculated values'!$D$5)/10^6</f>
        <v>16.559850557880058</v>
      </c>
      <c r="I19" s="52">
        <f>$H19/$H$20</f>
        <v>0.11048739363410767</v>
      </c>
      <c r="J19" s="148"/>
      <c r="K19" s="155"/>
      <c r="L19" s="87">
        <f t="shared" si="0"/>
        <v>0.71320858686388655</v>
      </c>
      <c r="M19" s="145"/>
    </row>
    <row r="20" spans="1:14" x14ac:dyDescent="0.3">
      <c r="A20" s="152"/>
      <c r="B20" s="151"/>
      <c r="C20" s="47" t="s">
        <v>62</v>
      </c>
      <c r="D20" s="93">
        <v>1</v>
      </c>
      <c r="E20" s="90">
        <f>'Appendix_BC-Networks'!P58</f>
        <v>2868</v>
      </c>
      <c r="F20" s="89"/>
      <c r="G20" s="149"/>
      <c r="H20" s="95">
        <f>'Table4 - Overview of systems'!D5</f>
        <v>149.88</v>
      </c>
      <c r="I20" s="53">
        <f t="shared" ref="I20" si="2">$H20/$H$20</f>
        <v>1</v>
      </c>
      <c r="J20" s="149"/>
      <c r="K20" s="155"/>
      <c r="L20" s="88"/>
      <c r="M20" s="146"/>
    </row>
    <row r="21" spans="1:14" s="43" customFormat="1" x14ac:dyDescent="0.3">
      <c r="A21"/>
      <c r="B21" s="57"/>
      <c r="C21"/>
      <c r="D21" s="22"/>
      <c r="E21"/>
      <c r="F21"/>
      <c r="G21"/>
      <c r="H21"/>
      <c r="I21" s="57"/>
      <c r="J21"/>
      <c r="K21" s="22"/>
      <c r="L21"/>
      <c r="M21"/>
      <c r="N21"/>
    </row>
    <row r="22" spans="1:14" x14ac:dyDescent="0.3">
      <c r="H22" s="81"/>
      <c r="I22" s="83"/>
      <c r="J22" s="81"/>
    </row>
    <row r="23" spans="1:14" x14ac:dyDescent="0.3">
      <c r="H23" s="81"/>
      <c r="I23" s="82"/>
      <c r="J23" s="81"/>
      <c r="K23" s="84"/>
    </row>
  </sheetData>
  <mergeCells count="11">
    <mergeCell ref="A2:A20"/>
    <mergeCell ref="B2:C2"/>
    <mergeCell ref="D2:E2"/>
    <mergeCell ref="G2:G20"/>
    <mergeCell ref="H2:I2"/>
    <mergeCell ref="K2:L2"/>
    <mergeCell ref="M2:M20"/>
    <mergeCell ref="B3:C3"/>
    <mergeCell ref="K4:K20"/>
    <mergeCell ref="B19:B20"/>
    <mergeCell ref="J2:J20"/>
  </mergeCells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E61CE-30ED-44A0-9D1E-E2DA59EC2473}">
  <dimension ref="A1:N23"/>
  <sheetViews>
    <sheetView zoomScaleNormal="100" workbookViewId="0">
      <selection activeCell="O26" sqref="H22:O26"/>
    </sheetView>
  </sheetViews>
  <sheetFormatPr defaultColWidth="8.6640625" defaultRowHeight="14.4" x14ac:dyDescent="0.3"/>
  <cols>
    <col min="1" max="1" width="3.6640625" customWidth="1"/>
    <col min="2" max="2" width="11.6640625" style="57" customWidth="1"/>
    <col min="3" max="3" width="14.33203125" customWidth="1"/>
    <col min="4" max="4" width="8.44140625" style="22" customWidth="1"/>
    <col min="6" max="6" width="20.33203125" customWidth="1"/>
    <col min="7" max="7" width="0.6640625" customWidth="1"/>
    <col min="8" max="8" width="15.33203125" customWidth="1"/>
    <col min="9" max="9" width="13.5546875" style="57" customWidth="1"/>
    <col min="10" max="10" width="0.6640625" customWidth="1"/>
    <col min="11" max="11" width="21.33203125" style="22" customWidth="1"/>
    <col min="12" max="12" width="15.5546875" hidden="1" customWidth="1"/>
    <col min="13" max="13" width="0.6640625" customWidth="1"/>
  </cols>
  <sheetData>
    <row r="1" spans="1:13" x14ac:dyDescent="0.3">
      <c r="H1" s="51"/>
      <c r="I1" s="59"/>
      <c r="J1" s="51"/>
      <c r="K1" s="59"/>
      <c r="L1" s="51"/>
      <c r="M1" s="51"/>
    </row>
    <row r="2" spans="1:13" s="44" customFormat="1" ht="31.5" customHeight="1" x14ac:dyDescent="0.3">
      <c r="A2" s="152" t="s">
        <v>4</v>
      </c>
      <c r="B2" s="153" t="s">
        <v>285</v>
      </c>
      <c r="C2" s="153"/>
      <c r="D2" s="154" t="s">
        <v>286</v>
      </c>
      <c r="E2" s="154"/>
      <c r="F2" s="125" t="s">
        <v>287</v>
      </c>
      <c r="G2" s="147"/>
      <c r="H2" s="154" t="s">
        <v>288</v>
      </c>
      <c r="I2" s="154"/>
      <c r="J2" s="147"/>
      <c r="K2" s="154" t="s">
        <v>296</v>
      </c>
      <c r="L2" s="154"/>
      <c r="M2" s="144"/>
    </row>
    <row r="3" spans="1:13" s="44" customFormat="1" ht="73.2" customHeight="1" x14ac:dyDescent="0.3">
      <c r="A3" s="152"/>
      <c r="B3" s="154" t="s">
        <v>290</v>
      </c>
      <c r="C3" s="154"/>
      <c r="D3" s="125" t="s">
        <v>291</v>
      </c>
      <c r="E3" s="125" t="s">
        <v>14</v>
      </c>
      <c r="F3" s="125" t="s">
        <v>292</v>
      </c>
      <c r="G3" s="148"/>
      <c r="H3" s="125" t="s">
        <v>293</v>
      </c>
      <c r="I3" s="125" t="s">
        <v>291</v>
      </c>
      <c r="J3" s="148"/>
      <c r="K3" s="125" t="s">
        <v>294</v>
      </c>
      <c r="L3" s="125" t="s">
        <v>295</v>
      </c>
      <c r="M3" s="145"/>
    </row>
    <row r="4" spans="1:13" x14ac:dyDescent="0.3">
      <c r="A4" s="152"/>
      <c r="B4" s="58" t="s">
        <v>16</v>
      </c>
      <c r="C4" s="63" t="s">
        <v>16</v>
      </c>
      <c r="D4" s="56">
        <f>'Appendix_BC-Networks'!W5</f>
        <v>0.30547008547008547</v>
      </c>
      <c r="E4" s="3">
        <v>787</v>
      </c>
      <c r="F4" s="50">
        <f>'Table6 - Emissions'!F4</f>
        <v>371.79463145857397</v>
      </c>
      <c r="G4" s="148"/>
      <c r="H4" s="94">
        <f>($E4*$F4*'Table5 - Calculated values'!$D$6)/10^6</f>
        <v>825.87695568116521</v>
      </c>
      <c r="I4" s="52">
        <f>$H4/$H$20</f>
        <v>0.16273309287831528</v>
      </c>
      <c r="J4" s="148"/>
      <c r="K4" s="155">
        <f>$H$20*10^6/'Table4 - Overview of systems'!$C$6</f>
        <v>5.5457485466031083E-2</v>
      </c>
      <c r="L4" s="87">
        <f t="shared" ref="L4:L19" si="0">D4/I4</f>
        <v>1.8771233316293121</v>
      </c>
      <c r="M4" s="145"/>
    </row>
    <row r="5" spans="1:13" x14ac:dyDescent="0.3">
      <c r="A5" s="152"/>
      <c r="B5" s="58" t="s">
        <v>259</v>
      </c>
      <c r="C5" s="63" t="s">
        <v>17</v>
      </c>
      <c r="D5" s="56">
        <f>'Appendix_BC-Networks'!W6</f>
        <v>0.2</v>
      </c>
      <c r="E5" s="3">
        <v>743</v>
      </c>
      <c r="F5" s="50">
        <f>'Table6 - Emissions'!F3</f>
        <v>384.64972970629799</v>
      </c>
      <c r="G5" s="148"/>
      <c r="H5" s="94">
        <f>($E5*$F5*'Table5 - Calculated values'!$D$6)/10^6</f>
        <v>806.66227480078987</v>
      </c>
      <c r="I5" s="52">
        <f>$H5/$H$20</f>
        <v>0.15894697870377178</v>
      </c>
      <c r="J5" s="148"/>
      <c r="K5" s="155"/>
      <c r="L5" s="87">
        <f t="shared" si="0"/>
        <v>1.2582812308294229</v>
      </c>
      <c r="M5" s="145"/>
    </row>
    <row r="6" spans="1:13" x14ac:dyDescent="0.3">
      <c r="A6" s="152"/>
      <c r="B6" s="58" t="s">
        <v>272</v>
      </c>
      <c r="C6" s="63" t="s">
        <v>21</v>
      </c>
      <c r="D6" s="56">
        <f>'Appendix_BC-Networks'!W7</f>
        <v>0.12102564102564102</v>
      </c>
      <c r="E6" s="3">
        <v>174</v>
      </c>
      <c r="F6" s="50">
        <f>'Table6 - Emissions'!F7</f>
        <v>313.004920833222</v>
      </c>
      <c r="G6" s="148"/>
      <c r="H6" s="94">
        <f>($E6*$F6*'Table5 - Calculated values'!$D$6)/10^6</f>
        <v>153.72266853015145</v>
      </c>
      <c r="I6" s="52">
        <f>$H6/$H$20</f>
        <v>3.0289942252701742E-2</v>
      </c>
      <c r="J6" s="148"/>
      <c r="K6" s="155"/>
      <c r="L6" s="87">
        <f t="shared" si="0"/>
        <v>3.995571863952498</v>
      </c>
      <c r="M6" s="145"/>
    </row>
    <row r="7" spans="1:13" x14ac:dyDescent="0.3">
      <c r="A7" s="152"/>
      <c r="B7" s="58" t="s">
        <v>270</v>
      </c>
      <c r="C7" s="63" t="s">
        <v>18</v>
      </c>
      <c r="D7" s="56">
        <f>'Appendix_BC-Networks'!W8</f>
        <v>5.8290598290598288E-2</v>
      </c>
      <c r="E7" s="3">
        <v>142</v>
      </c>
      <c r="F7" s="50">
        <f>'Table6 - Emissions'!I6</f>
        <v>57.184045304962702</v>
      </c>
      <c r="G7" s="148"/>
      <c r="H7" s="94">
        <f>($E7*$F7*'Table5 - Calculated values'!$D$6)/10^6</f>
        <v>22.919266825720214</v>
      </c>
      <c r="I7" s="52">
        <f t="shared" ref="I7:I18" si="1">$H7/$H$20</f>
        <v>4.5160760951086527E-3</v>
      </c>
      <c r="J7" s="148"/>
      <c r="K7" s="155"/>
      <c r="L7" s="87">
        <f t="shared" si="0"/>
        <v>12.907355204606194</v>
      </c>
      <c r="M7" s="145"/>
    </row>
    <row r="8" spans="1:13" x14ac:dyDescent="0.3">
      <c r="A8" s="152"/>
      <c r="B8" s="58" t="s">
        <v>260</v>
      </c>
      <c r="C8" s="63" t="s">
        <v>22</v>
      </c>
      <c r="D8" s="56">
        <f>'Appendix_BC-Networks'!W9</f>
        <v>5.7777777777777775E-2</v>
      </c>
      <c r="E8" s="3">
        <v>113</v>
      </c>
      <c r="F8" s="50">
        <f>'Table6 - Emissions'!I3</f>
        <v>142.99994996727801</v>
      </c>
      <c r="G8" s="148"/>
      <c r="H8" s="94">
        <f>($E8*$F8*'Table5 - Calculated values'!$D$6)/10^6</f>
        <v>45.60913444230809</v>
      </c>
      <c r="I8" s="52">
        <f t="shared" si="1"/>
        <v>8.9869507318775989E-3</v>
      </c>
      <c r="J8" s="148"/>
      <c r="K8" s="155"/>
      <c r="L8" s="87">
        <f t="shared" si="0"/>
        <v>6.4290747219559474</v>
      </c>
      <c r="M8" s="145"/>
    </row>
    <row r="9" spans="1:13" x14ac:dyDescent="0.3">
      <c r="A9" s="152"/>
      <c r="B9" s="58" t="s">
        <v>274</v>
      </c>
      <c r="C9" s="63" t="s">
        <v>23</v>
      </c>
      <c r="D9" s="56">
        <f>'Appendix_BC-Networks'!W10</f>
        <v>5.3333333333333337E-2</v>
      </c>
      <c r="E9" s="3">
        <v>131</v>
      </c>
      <c r="F9" s="50">
        <f>'Table6 - Emissions'!C8</f>
        <v>467.46654905238398</v>
      </c>
      <c r="G9" s="148"/>
      <c r="H9" s="94">
        <f>($E9*$F9*'Table5 - Calculated values'!$D$6)/10^6</f>
        <v>172.84600103308307</v>
      </c>
      <c r="I9" s="52">
        <f t="shared" si="1"/>
        <v>3.4058056888829069E-2</v>
      </c>
      <c r="J9" s="148"/>
      <c r="K9" s="155"/>
      <c r="L9" s="87">
        <f t="shared" si="0"/>
        <v>1.5659534983872345</v>
      </c>
      <c r="M9" s="145"/>
    </row>
    <row r="10" spans="1:13" x14ac:dyDescent="0.3">
      <c r="A10" s="152"/>
      <c r="B10" s="58" t="s">
        <v>271</v>
      </c>
      <c r="C10" s="63" t="s">
        <v>24</v>
      </c>
      <c r="D10" s="56">
        <f>'Appendix_BC-Networks'!W11</f>
        <v>4.0854700854700852E-2</v>
      </c>
      <c r="E10" s="3">
        <v>154</v>
      </c>
      <c r="F10" s="50">
        <f>'Table6 - Emissions'!C7</f>
        <v>486.83130734305701</v>
      </c>
      <c r="G10" s="148"/>
      <c r="H10" s="94">
        <f>($E10*$F10*'Table5 - Calculated values'!$D$6)/10^6</f>
        <v>211.61026032983898</v>
      </c>
      <c r="I10" s="52">
        <f t="shared" si="1"/>
        <v>4.1696274380071681E-2</v>
      </c>
      <c r="J10" s="148"/>
      <c r="K10" s="155"/>
      <c r="L10" s="87">
        <f t="shared" si="0"/>
        <v>0.97981657743088313</v>
      </c>
      <c r="M10" s="145"/>
    </row>
    <row r="11" spans="1:13" x14ac:dyDescent="0.3">
      <c r="A11" s="152"/>
      <c r="B11" s="58" t="s">
        <v>275</v>
      </c>
      <c r="C11" s="63" t="s">
        <v>20</v>
      </c>
      <c r="D11" s="56">
        <f>'Appendix_BC-Networks'!W12</f>
        <v>4.0683760683760686E-2</v>
      </c>
      <c r="E11" s="3">
        <v>38</v>
      </c>
      <c r="F11" s="50">
        <f>'Table6 - Emissions'!F8</f>
        <v>221.80270857859901</v>
      </c>
      <c r="G11" s="148"/>
      <c r="H11" s="94">
        <f>($E11*$F11*'Table5 - Calculated values'!$D$6)/10^6</f>
        <v>23.78964401251131</v>
      </c>
      <c r="I11" s="52">
        <f t="shared" si="1"/>
        <v>4.6875776373213433E-3</v>
      </c>
      <c r="J11" s="148"/>
      <c r="K11" s="155"/>
      <c r="L11" s="87">
        <f t="shared" si="0"/>
        <v>8.6790585311796367</v>
      </c>
      <c r="M11" s="145"/>
    </row>
    <row r="12" spans="1:13" x14ac:dyDescent="0.3">
      <c r="A12" s="152"/>
      <c r="B12" s="58" t="s">
        <v>278</v>
      </c>
      <c r="C12" s="63" t="s">
        <v>30</v>
      </c>
      <c r="D12" s="56">
        <f>'Appendix_BC-Networks'!W13</f>
        <v>1.1282051282051283E-2</v>
      </c>
      <c r="E12" s="3">
        <v>101</v>
      </c>
      <c r="F12" s="50">
        <f>'Table6 - Emissions'!F9</f>
        <v>169.75148103704001</v>
      </c>
      <c r="G12" s="148"/>
      <c r="H12" s="94">
        <f>($E12*$F12*'Table5 - Calculated values'!$D$6)/10^6</f>
        <v>48.391874729460461</v>
      </c>
      <c r="I12" s="52">
        <f t="shared" si="1"/>
        <v>9.5352696194434851E-3</v>
      </c>
      <c r="J12" s="148"/>
      <c r="K12" s="155"/>
      <c r="L12" s="87">
        <f t="shared" si="0"/>
        <v>1.1831916382359984</v>
      </c>
      <c r="M12" s="145"/>
    </row>
    <row r="13" spans="1:13" x14ac:dyDescent="0.3">
      <c r="A13" s="152"/>
      <c r="B13" s="58" t="s">
        <v>269</v>
      </c>
      <c r="C13" s="63" t="s">
        <v>31</v>
      </c>
      <c r="D13" s="56">
        <f>'Appendix_BC-Networks'!W14</f>
        <v>1.1111111111111112E-2</v>
      </c>
      <c r="E13" s="3">
        <v>37</v>
      </c>
      <c r="F13" s="50">
        <f>'Table6 - Emissions'!F6</f>
        <v>338.04433485605</v>
      </c>
      <c r="G13" s="148"/>
      <c r="H13" s="94">
        <f>($E13*$F13*'Table5 - Calculated values'!$D$6)/10^6</f>
        <v>35.30310363770959</v>
      </c>
      <c r="I13" s="52">
        <f t="shared" si="1"/>
        <v>6.9562217514954738E-3</v>
      </c>
      <c r="J13" s="148"/>
      <c r="K13" s="155"/>
      <c r="L13" s="87">
        <f t="shared" si="0"/>
        <v>1.5972911025618763</v>
      </c>
      <c r="M13" s="145"/>
    </row>
    <row r="14" spans="1:13" x14ac:dyDescent="0.3">
      <c r="A14" s="152"/>
      <c r="B14" s="58" t="s">
        <v>277</v>
      </c>
      <c r="C14" s="63" t="s">
        <v>34</v>
      </c>
      <c r="D14" s="56">
        <f>'Appendix_BC-Networks'!W15</f>
        <v>7.3504273504273509E-3</v>
      </c>
      <c r="E14" s="3">
        <v>53</v>
      </c>
      <c r="F14" s="50">
        <f>'Table6 - Emissions'!C9</f>
        <v>448.47052447612998</v>
      </c>
      <c r="G14" s="148"/>
      <c r="H14" s="94">
        <f>($E14*$F14*'Table5 - Calculated values'!$D$6)/10^6</f>
        <v>67.088375446644633</v>
      </c>
      <c r="I14" s="52">
        <f t="shared" si="1"/>
        <v>1.3219280133091489E-2</v>
      </c>
      <c r="J14" s="148"/>
      <c r="K14" s="155"/>
      <c r="L14" s="87">
        <f t="shared" si="0"/>
        <v>0.55603839818986911</v>
      </c>
      <c r="M14" s="145"/>
    </row>
    <row r="15" spans="1:13" x14ac:dyDescent="0.3">
      <c r="A15" s="152"/>
      <c r="B15" s="58" t="s">
        <v>280</v>
      </c>
      <c r="C15" s="63" t="s">
        <v>36</v>
      </c>
      <c r="D15" s="56">
        <f>'Appendix_BC-Networks'!W16</f>
        <v>6.1538461538461538E-3</v>
      </c>
      <c r="E15" s="3">
        <v>50</v>
      </c>
      <c r="F15" s="50">
        <f>'Table6 - Emissions'!I9</f>
        <v>22.9451551845724</v>
      </c>
      <c r="G15" s="148"/>
      <c r="H15" s="94">
        <f>($E15*$F15*'Table5 - Calculated values'!$D$6)/10^6</f>
        <v>3.2381615006018389</v>
      </c>
      <c r="I15" s="52">
        <f t="shared" si="1"/>
        <v>6.3805635041336403E-4</v>
      </c>
      <c r="J15" s="148"/>
      <c r="K15" s="155"/>
      <c r="L15" s="87">
        <f t="shared" si="0"/>
        <v>9.6446750351428872</v>
      </c>
      <c r="M15" s="145"/>
    </row>
    <row r="16" spans="1:13" x14ac:dyDescent="0.3">
      <c r="A16" s="152"/>
      <c r="B16" s="58" t="s">
        <v>258</v>
      </c>
      <c r="C16" s="63" t="s">
        <v>40</v>
      </c>
      <c r="D16" s="56">
        <f>'Appendix_BC-Networks'!W17</f>
        <v>5.6410256410256415E-3</v>
      </c>
      <c r="E16" s="3">
        <v>31</v>
      </c>
      <c r="F16" s="50">
        <f>'Table6 - Emissions'!C3</f>
        <v>698.98001385181396</v>
      </c>
      <c r="G16" s="148"/>
      <c r="H16" s="94">
        <f>($E16*$F16*'Table5 - Calculated values'!$D$6)/10^6</f>
        <v>61.159503801547451</v>
      </c>
      <c r="I16" s="52">
        <f t="shared" si="1"/>
        <v>1.2051038770442687E-2</v>
      </c>
      <c r="J16" s="148"/>
      <c r="K16" s="155"/>
      <c r="L16" s="87">
        <f t="shared" si="0"/>
        <v>0.468094555870259</v>
      </c>
      <c r="M16" s="145"/>
    </row>
    <row r="17" spans="1:14" x14ac:dyDescent="0.3">
      <c r="A17" s="152"/>
      <c r="B17" s="58" t="s">
        <v>297</v>
      </c>
      <c r="C17" s="63" t="s">
        <v>41</v>
      </c>
      <c r="D17" s="56">
        <f>'Appendix_BC-Networks'!W18</f>
        <v>5.2991452991452996E-3</v>
      </c>
      <c r="E17" s="3">
        <v>62</v>
      </c>
      <c r="F17" s="50">
        <f>'Table6 - Emissions'!C4</f>
        <v>695.969034366963</v>
      </c>
      <c r="G17" s="148"/>
      <c r="H17" s="94">
        <f>($E17*$F17*'Table5 - Calculated values'!$D$6)/10^6</f>
        <v>121.79209694012661</v>
      </c>
      <c r="I17" s="52">
        <f t="shared" si="1"/>
        <v>2.3998253598026147E-2</v>
      </c>
      <c r="J17" s="148"/>
      <c r="K17" s="155"/>
      <c r="L17" s="87">
        <f t="shared" si="0"/>
        <v>0.22081378869923909</v>
      </c>
      <c r="M17" s="145"/>
    </row>
    <row r="18" spans="1:14" x14ac:dyDescent="0.3">
      <c r="A18" s="152"/>
      <c r="B18" s="58" t="s">
        <v>276</v>
      </c>
      <c r="C18" s="63" t="s">
        <v>27</v>
      </c>
      <c r="D18" s="56">
        <f>'Appendix_BC-Networks'!W19</f>
        <v>5.1282051282051282E-3</v>
      </c>
      <c r="E18" s="3">
        <v>26</v>
      </c>
      <c r="F18" s="50">
        <f>'Table6 - Emissions'!I8</f>
        <v>25.6443395590845</v>
      </c>
      <c r="G18" s="148"/>
      <c r="H18" s="94">
        <f>($E18*$F18*'Table5 - Calculated values'!$D$6)/10^6</f>
        <v>1.8819252451471513</v>
      </c>
      <c r="I18" s="52">
        <f t="shared" si="1"/>
        <v>3.7081978568585691E-4</v>
      </c>
      <c r="J18" s="148"/>
      <c r="K18" s="155"/>
      <c r="L18" s="87">
        <f t="shared" si="0"/>
        <v>13.829372989685966</v>
      </c>
      <c r="M18" s="145"/>
    </row>
    <row r="19" spans="1:14" x14ac:dyDescent="0.3">
      <c r="A19" s="152"/>
      <c r="B19" s="150"/>
      <c r="C19" s="1" t="s">
        <v>61</v>
      </c>
      <c r="D19" s="56">
        <f>D20-SUM(D4:D18)</f>
        <v>7.0598290598290481E-2</v>
      </c>
      <c r="E19" s="12">
        <f>$E$20-SUM(E4:E18)</f>
        <v>3208</v>
      </c>
      <c r="F19" s="50">
        <f>'Table6 - Emissions'!I10</f>
        <v>481</v>
      </c>
      <c r="G19" s="148"/>
      <c r="H19" s="94">
        <f>($E19*$F19*'Table5 - Calculated values'!$D$5)/10^6</f>
        <v>235.06194951185498</v>
      </c>
      <c r="I19" s="52">
        <f>$H19/$H$20</f>
        <v>4.631726045742595E-2</v>
      </c>
      <c r="J19" s="148"/>
      <c r="K19" s="155"/>
      <c r="L19" s="87">
        <f t="shared" si="0"/>
        <v>1.5242328648341203</v>
      </c>
      <c r="M19" s="145"/>
    </row>
    <row r="20" spans="1:14" x14ac:dyDescent="0.3">
      <c r="A20" s="152"/>
      <c r="B20" s="151"/>
      <c r="C20" s="47" t="s">
        <v>62</v>
      </c>
      <c r="D20" s="93">
        <v>1</v>
      </c>
      <c r="E20" s="90">
        <f>'Appendix_BC-Networks'!V31</f>
        <v>5850</v>
      </c>
      <c r="F20" s="89"/>
      <c r="G20" s="149"/>
      <c r="H20" s="95">
        <f>'Table4 - Overview of systems'!D6</f>
        <v>5075.04</v>
      </c>
      <c r="I20" s="53">
        <f t="shared" ref="I20" si="2">$H20/$H$20</f>
        <v>1</v>
      </c>
      <c r="J20" s="149"/>
      <c r="K20" s="155"/>
      <c r="L20" s="88"/>
      <c r="M20" s="146"/>
    </row>
    <row r="21" spans="1:14" s="43" customFormat="1" x14ac:dyDescent="0.3">
      <c r="A21"/>
      <c r="B21" s="57"/>
      <c r="C21"/>
      <c r="D21" s="22"/>
      <c r="E21"/>
      <c r="F21"/>
      <c r="G21"/>
      <c r="H21"/>
      <c r="I21" s="57"/>
      <c r="J21"/>
      <c r="K21" s="22"/>
      <c r="L21"/>
      <c r="M21"/>
      <c r="N21"/>
    </row>
    <row r="22" spans="1:14" x14ac:dyDescent="0.3">
      <c r="H22" s="81"/>
      <c r="I22" s="83"/>
      <c r="J22" s="81"/>
    </row>
    <row r="23" spans="1:14" x14ac:dyDescent="0.3">
      <c r="H23" s="81"/>
      <c r="I23" s="82"/>
      <c r="J23" s="81"/>
      <c r="K23" s="84"/>
    </row>
  </sheetData>
  <mergeCells count="11">
    <mergeCell ref="A2:A20"/>
    <mergeCell ref="B2:C2"/>
    <mergeCell ref="D2:E2"/>
    <mergeCell ref="G2:G20"/>
    <mergeCell ref="H2:I2"/>
    <mergeCell ref="K2:L2"/>
    <mergeCell ref="M2:M20"/>
    <mergeCell ref="B3:C3"/>
    <mergeCell ref="K4:K20"/>
    <mergeCell ref="B19:B20"/>
    <mergeCell ref="J2:J20"/>
  </mergeCells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5D7E1-474C-4DEC-8CAE-D8707F8821DF}">
  <dimension ref="A1:N23"/>
  <sheetViews>
    <sheetView zoomScaleNormal="100" workbookViewId="0">
      <selection activeCell="P26" sqref="H22:P26"/>
    </sheetView>
  </sheetViews>
  <sheetFormatPr defaultColWidth="8.6640625" defaultRowHeight="14.4" x14ac:dyDescent="0.3"/>
  <cols>
    <col min="1" max="1" width="3.6640625" customWidth="1"/>
    <col min="2" max="2" width="11.6640625" style="57" customWidth="1"/>
    <col min="3" max="3" width="14.33203125" customWidth="1"/>
    <col min="4" max="4" width="8.44140625" style="22" customWidth="1"/>
    <col min="6" max="6" width="20.33203125" customWidth="1"/>
    <col min="7" max="7" width="0.6640625" customWidth="1"/>
    <col min="8" max="8" width="15.33203125" customWidth="1"/>
    <col min="9" max="9" width="13.5546875" style="57" customWidth="1"/>
    <col min="10" max="10" width="0.6640625" customWidth="1"/>
    <col min="11" max="11" width="21.109375" style="22" customWidth="1"/>
    <col min="12" max="12" width="15.5546875" hidden="1" customWidth="1"/>
    <col min="13" max="13" width="0.6640625" customWidth="1"/>
  </cols>
  <sheetData>
    <row r="1" spans="1:13" x14ac:dyDescent="0.3">
      <c r="H1" s="51"/>
      <c r="I1" s="59"/>
      <c r="J1" s="51"/>
      <c r="K1" s="59"/>
      <c r="L1" s="51"/>
      <c r="M1" s="51"/>
    </row>
    <row r="2" spans="1:13" s="44" customFormat="1" ht="31.5" customHeight="1" x14ac:dyDescent="0.3">
      <c r="A2" s="152" t="s">
        <v>298</v>
      </c>
      <c r="B2" s="153" t="s">
        <v>285</v>
      </c>
      <c r="C2" s="153"/>
      <c r="D2" s="154" t="s">
        <v>286</v>
      </c>
      <c r="E2" s="154"/>
      <c r="F2" s="125" t="s">
        <v>287</v>
      </c>
      <c r="G2" s="147"/>
      <c r="H2" s="154" t="s">
        <v>288</v>
      </c>
      <c r="I2" s="154"/>
      <c r="J2" s="147"/>
      <c r="K2" s="156" t="s">
        <v>296</v>
      </c>
      <c r="L2" s="157"/>
      <c r="M2" s="144"/>
    </row>
    <row r="3" spans="1:13" s="44" customFormat="1" ht="73.2" customHeight="1" x14ac:dyDescent="0.3">
      <c r="A3" s="152"/>
      <c r="B3" s="154" t="s">
        <v>290</v>
      </c>
      <c r="C3" s="154"/>
      <c r="D3" s="125" t="s">
        <v>291</v>
      </c>
      <c r="E3" s="125" t="s">
        <v>14</v>
      </c>
      <c r="F3" s="125" t="s">
        <v>292</v>
      </c>
      <c r="G3" s="148"/>
      <c r="H3" s="125" t="s">
        <v>293</v>
      </c>
      <c r="I3" s="125" t="s">
        <v>291</v>
      </c>
      <c r="J3" s="148"/>
      <c r="K3" s="125" t="s">
        <v>294</v>
      </c>
      <c r="L3" s="125" t="s">
        <v>295</v>
      </c>
      <c r="M3" s="145"/>
    </row>
    <row r="4" spans="1:13" x14ac:dyDescent="0.3">
      <c r="A4" s="152"/>
      <c r="B4" s="58" t="s">
        <v>16</v>
      </c>
      <c r="C4" s="63" t="s">
        <v>16</v>
      </c>
      <c r="D4" s="56">
        <f>'Appendix_BC-Networks'!AC5</f>
        <v>0.21822272215973004</v>
      </c>
      <c r="E4" s="127">
        <v>194</v>
      </c>
      <c r="F4" s="50">
        <f>'Table6 - Emissions'!F4</f>
        <v>371.79463145857397</v>
      </c>
      <c r="G4" s="148"/>
      <c r="H4" s="94">
        <f>($E4*$F4*'Table5 - Calculated values'!$D$7)/10^6</f>
        <v>38.276604428507333</v>
      </c>
      <c r="I4" s="52">
        <f>$H4/$H$20</f>
        <v>0.19711919058866686</v>
      </c>
      <c r="J4" s="148"/>
      <c r="K4" s="155">
        <f>$H$20*10^6/'Table4 - Overview of systems'!$C$7</f>
        <v>0.49737103879494104</v>
      </c>
      <c r="L4" s="87">
        <f>(D4/I4)</f>
        <v>1.107059751554583</v>
      </c>
      <c r="M4" s="145"/>
    </row>
    <row r="5" spans="1:13" x14ac:dyDescent="0.3">
      <c r="A5" s="152"/>
      <c r="B5" s="58" t="s">
        <v>259</v>
      </c>
      <c r="C5" s="63" t="s">
        <v>17</v>
      </c>
      <c r="D5" s="56">
        <f>'Appendix_BC-Networks'!AC6</f>
        <v>0.11811023622047244</v>
      </c>
      <c r="E5" s="127">
        <v>105</v>
      </c>
      <c r="F5" s="50">
        <f>'Table6 - Emissions'!F3</f>
        <v>384.64972970629799</v>
      </c>
      <c r="G5" s="148"/>
      <c r="H5" s="94">
        <f>($E5*$F5*'Table5 - Calculated values'!$D$7)/10^6</f>
        <v>21.433016100418133</v>
      </c>
      <c r="I5" s="52">
        <f>$H5/$H$20</f>
        <v>0.11037705273672949</v>
      </c>
      <c r="J5" s="148"/>
      <c r="K5" s="155"/>
      <c r="L5" s="87">
        <f t="shared" ref="L5:L19" si="0">(D5/I5)</f>
        <v>1.0700615145268291</v>
      </c>
      <c r="M5" s="145"/>
    </row>
    <row r="6" spans="1:13" x14ac:dyDescent="0.3">
      <c r="A6" s="152"/>
      <c r="B6" s="58" t="s">
        <v>263</v>
      </c>
      <c r="C6" s="63" t="s">
        <v>19</v>
      </c>
      <c r="D6" s="56">
        <f>'Appendix_BC-Networks'!AC7</f>
        <v>7.0866141732283464E-2</v>
      </c>
      <c r="E6" s="127">
        <v>63</v>
      </c>
      <c r="F6" s="50">
        <f>'Table6 - Emissions'!I4</f>
        <v>88.338273491423706</v>
      </c>
      <c r="G6" s="148"/>
      <c r="H6" s="94">
        <f>($E6*$F6*'Table5 - Calculated values'!$D$7)/10^6</f>
        <v>2.9533710674444142</v>
      </c>
      <c r="I6" s="52">
        <f>$H6/$H$20</f>
        <v>1.5209450342179494E-2</v>
      </c>
      <c r="J6" s="148"/>
      <c r="K6" s="155"/>
      <c r="L6" s="87">
        <f t="shared" si="0"/>
        <v>4.6593492952046045</v>
      </c>
      <c r="M6" s="145"/>
    </row>
    <row r="7" spans="1:13" x14ac:dyDescent="0.3">
      <c r="A7" s="152"/>
      <c r="B7" s="58" t="s">
        <v>274</v>
      </c>
      <c r="C7" s="63" t="s">
        <v>23</v>
      </c>
      <c r="D7" s="56">
        <f>'Appendix_BC-Networks'!AC8</f>
        <v>5.2868391451068614E-2</v>
      </c>
      <c r="E7" s="127">
        <v>47</v>
      </c>
      <c r="F7" s="50">
        <f>'Table6 - Emissions'!C8</f>
        <v>467.46654905238398</v>
      </c>
      <c r="G7" s="148"/>
      <c r="H7" s="94">
        <f>($E7*$F7*'Table5 - Calculated values'!$D$7)/10^6</f>
        <v>11.659420259598233</v>
      </c>
      <c r="I7" s="52">
        <f t="shared" ref="I7:I18" si="1">$H7/$H$20</f>
        <v>6.0044393138316166E-2</v>
      </c>
      <c r="J7" s="148"/>
      <c r="K7" s="155"/>
      <c r="L7" s="87">
        <f t="shared" si="0"/>
        <v>0.88048839679806301</v>
      </c>
      <c r="M7" s="145"/>
    </row>
    <row r="8" spans="1:13" x14ac:dyDescent="0.3">
      <c r="A8" s="152"/>
      <c r="B8" s="58" t="s">
        <v>271</v>
      </c>
      <c r="C8" s="63" t="s">
        <v>24</v>
      </c>
      <c r="D8" s="56">
        <f>'Appendix_BC-Networks'!AC9</f>
        <v>4.6119235095613047E-2</v>
      </c>
      <c r="E8" s="127">
        <v>41</v>
      </c>
      <c r="F8" s="50">
        <f>'Table6 - Emissions'!C7</f>
        <v>486.83130734305701</v>
      </c>
      <c r="G8" s="148"/>
      <c r="H8" s="94">
        <f>($E8*$F8*'Table5 - Calculated values'!$D$7)/10^6</f>
        <v>10.592315681073783</v>
      </c>
      <c r="I8" s="52">
        <f t="shared" si="1"/>
        <v>5.4548952935800712E-2</v>
      </c>
      <c r="J8" s="148"/>
      <c r="K8" s="155"/>
      <c r="L8" s="87">
        <f t="shared" si="0"/>
        <v>0.84546508435993817</v>
      </c>
      <c r="M8" s="145"/>
    </row>
    <row r="9" spans="1:13" x14ac:dyDescent="0.3">
      <c r="A9" s="152"/>
      <c r="B9" s="58" t="s">
        <v>272</v>
      </c>
      <c r="C9" s="63" t="s">
        <v>21</v>
      </c>
      <c r="D9" s="56">
        <f>'Appendix_BC-Networks'!AC10</f>
        <v>3.8245219347581551E-2</v>
      </c>
      <c r="E9" s="127">
        <v>34</v>
      </c>
      <c r="F9" s="50">
        <f>'Table6 - Emissions'!F7</f>
        <v>313.004920833222</v>
      </c>
      <c r="G9" s="148"/>
      <c r="H9" s="94">
        <f>($E9*$F9*'Table5 - Calculated values'!$D$7)/10^6</f>
        <v>5.6475312385271437</v>
      </c>
      <c r="I9" s="52">
        <f t="shared" si="1"/>
        <v>2.9084000610398307E-2</v>
      </c>
      <c r="J9" s="148"/>
      <c r="K9" s="155"/>
      <c r="L9" s="87">
        <f t="shared" si="0"/>
        <v>1.3149916980096563</v>
      </c>
      <c r="M9" s="145"/>
    </row>
    <row r="10" spans="1:13" x14ac:dyDescent="0.3">
      <c r="A10" s="152"/>
      <c r="B10" s="58" t="s">
        <v>270</v>
      </c>
      <c r="C10" s="63" t="s">
        <v>18</v>
      </c>
      <c r="D10" s="56">
        <f>'Appendix_BC-Networks'!AC11</f>
        <v>3.59955005624297E-2</v>
      </c>
      <c r="E10" s="127">
        <v>32</v>
      </c>
      <c r="F10" s="50">
        <f>'Table6 - Emissions'!I6</f>
        <v>57.184045304962702</v>
      </c>
      <c r="G10" s="148"/>
      <c r="H10" s="94">
        <f>($E10*$F10*'Table5 - Calculated values'!$D$7)/10^6</f>
        <v>0.97107642937312943</v>
      </c>
      <c r="I10" s="52">
        <f t="shared" si="1"/>
        <v>5.000908586739774E-3</v>
      </c>
      <c r="J10" s="148"/>
      <c r="K10" s="155"/>
      <c r="L10" s="87">
        <f t="shared" si="0"/>
        <v>7.197792148785533</v>
      </c>
      <c r="M10" s="145"/>
    </row>
    <row r="11" spans="1:13" x14ac:dyDescent="0.3">
      <c r="A11" s="152"/>
      <c r="B11" s="58" t="s">
        <v>281</v>
      </c>
      <c r="C11" s="63" t="s">
        <v>28</v>
      </c>
      <c r="D11" s="56">
        <f>'Appendix_BC-Networks'!AC12</f>
        <v>2.81214848143982E-2</v>
      </c>
      <c r="E11" s="127">
        <v>25</v>
      </c>
      <c r="F11" s="50">
        <f>'Table6 - Emissions'!C10</f>
        <v>439.51701745656698</v>
      </c>
      <c r="G11" s="148"/>
      <c r="H11" s="94">
        <f>($E11*$F11*'Table5 - Calculated values'!$D$7)/10^6</f>
        <v>5.8310164039787562</v>
      </c>
      <c r="I11" s="52">
        <f t="shared" si="1"/>
        <v>3.0028923699550705E-2</v>
      </c>
      <c r="J11" s="148"/>
      <c r="K11" s="155"/>
      <c r="L11" s="87">
        <f t="shared" si="0"/>
        <v>0.93647994499446396</v>
      </c>
      <c r="M11" s="145"/>
    </row>
    <row r="12" spans="1:13" x14ac:dyDescent="0.3">
      <c r="A12" s="152"/>
      <c r="B12" s="58" t="s">
        <v>269</v>
      </c>
      <c r="C12" s="63" t="s">
        <v>31</v>
      </c>
      <c r="D12" s="56">
        <f>'Appendix_BC-Networks'!AC13</f>
        <v>2.81214848143982E-2</v>
      </c>
      <c r="E12" s="127">
        <v>25</v>
      </c>
      <c r="F12" s="50">
        <f>'Table6 - Emissions'!F6</f>
        <v>338.04433485605</v>
      </c>
      <c r="G12" s="148"/>
      <c r="H12" s="94">
        <f>($E12*$F12*'Table5 - Calculated values'!$D$7)/10^6</f>
        <v>4.4847912220202106</v>
      </c>
      <c r="I12" s="52">
        <f t="shared" si="1"/>
        <v>2.3096051200021683E-2</v>
      </c>
      <c r="J12" s="148"/>
      <c r="K12" s="155"/>
      <c r="L12" s="87">
        <f t="shared" si="0"/>
        <v>1.2175884340943874</v>
      </c>
      <c r="M12" s="145"/>
    </row>
    <row r="13" spans="1:13" x14ac:dyDescent="0.3">
      <c r="A13" s="152"/>
      <c r="B13" s="58" t="s">
        <v>275</v>
      </c>
      <c r="C13" s="63" t="s">
        <v>20</v>
      </c>
      <c r="D13" s="56">
        <f>'Appendix_BC-Networks'!AC14</f>
        <v>2.5871766029246346E-2</v>
      </c>
      <c r="E13" s="127">
        <v>23</v>
      </c>
      <c r="F13" s="50">
        <f>'Table6 - Emissions'!F8</f>
        <v>221.80270857859901</v>
      </c>
      <c r="G13" s="148"/>
      <c r="H13" s="94">
        <f>($E13*$F13*'Table5 - Calculated values'!$D$7)/10^6</f>
        <v>2.7072180742417209</v>
      </c>
      <c r="I13" s="52">
        <f t="shared" si="1"/>
        <v>1.3941796653835209E-2</v>
      </c>
      <c r="J13" s="148"/>
      <c r="K13" s="155"/>
      <c r="L13" s="87">
        <f t="shared" si="0"/>
        <v>1.8556981335780245</v>
      </c>
      <c r="M13" s="145"/>
    </row>
    <row r="14" spans="1:13" x14ac:dyDescent="0.3">
      <c r="A14" s="152"/>
      <c r="B14" s="58" t="s">
        <v>260</v>
      </c>
      <c r="C14" s="63" t="s">
        <v>22</v>
      </c>
      <c r="D14" s="56">
        <f>'Appendix_BC-Networks'!AC15</f>
        <v>2.2497187851518559E-2</v>
      </c>
      <c r="E14" s="127">
        <v>20</v>
      </c>
      <c r="F14" s="50">
        <f>'Table6 - Emissions'!I3</f>
        <v>142.99994996727801</v>
      </c>
      <c r="G14" s="148"/>
      <c r="H14" s="94">
        <f>($E14*$F14*'Table5 - Calculated values'!$D$7)/10^6</f>
        <v>1.5177297276954498</v>
      </c>
      <c r="I14" s="52">
        <f t="shared" si="1"/>
        <v>7.8160970630108649E-3</v>
      </c>
      <c r="J14" s="148"/>
      <c r="K14" s="155"/>
      <c r="L14" s="87">
        <f t="shared" si="0"/>
        <v>2.8783147995928728</v>
      </c>
      <c r="M14" s="145"/>
    </row>
    <row r="15" spans="1:13" x14ac:dyDescent="0.3">
      <c r="A15" s="152"/>
      <c r="B15" s="58" t="s">
        <v>254</v>
      </c>
      <c r="C15" s="63" t="s">
        <v>37</v>
      </c>
      <c r="D15" s="56">
        <f>'Appendix_BC-Networks'!AC16</f>
        <v>1.2373453318335208E-2</v>
      </c>
      <c r="E15" s="127">
        <v>11</v>
      </c>
      <c r="F15" s="50">
        <f>'Table6 - Emissions'!F2</f>
        <v>433.86170467834899</v>
      </c>
      <c r="G15" s="148"/>
      <c r="H15" s="94">
        <f>($E15*$F15*'Table5 - Calculated values'!$D$7)/10^6</f>
        <v>2.5326347588044453</v>
      </c>
      <c r="I15" s="52">
        <f t="shared" si="1"/>
        <v>1.3042716854487822E-2</v>
      </c>
      <c r="J15" s="148"/>
      <c r="K15" s="155"/>
      <c r="L15" s="87">
        <f t="shared" si="0"/>
        <v>0.94868680017980078</v>
      </c>
      <c r="M15" s="145"/>
    </row>
    <row r="16" spans="1:13" x14ac:dyDescent="0.3">
      <c r="A16" s="152"/>
      <c r="B16" s="58" t="s">
        <v>268</v>
      </c>
      <c r="C16" s="63" t="s">
        <v>26</v>
      </c>
      <c r="D16" s="56">
        <f>'Appendix_BC-Networks'!AC17</f>
        <v>1.2373453318335208E-2</v>
      </c>
      <c r="E16" s="127">
        <v>11</v>
      </c>
      <c r="F16" s="50">
        <f>'Table6 - Emissions'!C6</f>
        <v>566.70679152612399</v>
      </c>
      <c r="G16" s="148"/>
      <c r="H16" s="94">
        <f>($E16*$F16*'Table5 - Calculated values'!$D$7)/10^6</f>
        <v>3.3081078666153818</v>
      </c>
      <c r="I16" s="52">
        <f t="shared" si="1"/>
        <v>1.7036295533089822E-2</v>
      </c>
      <c r="J16" s="148"/>
      <c r="K16" s="155"/>
      <c r="L16" s="87">
        <f t="shared" si="0"/>
        <v>0.72629952293924971</v>
      </c>
      <c r="M16" s="145"/>
    </row>
    <row r="17" spans="1:14" x14ac:dyDescent="0.3">
      <c r="A17" s="152"/>
      <c r="B17" s="58" t="s">
        <v>297</v>
      </c>
      <c r="C17" s="63" t="s">
        <v>41</v>
      </c>
      <c r="D17" s="56">
        <f>'Appendix_BC-Networks'!AC18</f>
        <v>1.1248593925759279E-2</v>
      </c>
      <c r="E17" s="127">
        <v>10</v>
      </c>
      <c r="F17" s="50">
        <f>'Table6 - Emissions'!C4</f>
        <v>695.969034366963</v>
      </c>
      <c r="G17" s="148"/>
      <c r="H17" s="94">
        <f>($E17*$F17*'Table5 - Calculated values'!$D$7)/10^6</f>
        <v>3.693333085976402</v>
      </c>
      <c r="I17" s="52">
        <f t="shared" si="1"/>
        <v>1.9020151848678554E-2</v>
      </c>
      <c r="J17" s="148"/>
      <c r="K17" s="155"/>
      <c r="L17" s="87">
        <f t="shared" si="0"/>
        <v>0.59140400219995026</v>
      </c>
      <c r="M17" s="145"/>
    </row>
    <row r="18" spans="1:14" x14ac:dyDescent="0.3">
      <c r="A18" s="152"/>
      <c r="B18" s="58" t="s">
        <v>273</v>
      </c>
      <c r="C18" s="63" t="s">
        <v>29</v>
      </c>
      <c r="D18" s="56">
        <f>'Appendix_BC-Networks'!AC19</f>
        <v>8.9988751406074249E-3</v>
      </c>
      <c r="E18" s="127">
        <v>8</v>
      </c>
      <c r="F18" s="50">
        <f>'Table6 - Emissions'!I7</f>
        <v>43.228378352050299</v>
      </c>
      <c r="G18" s="148"/>
      <c r="H18" s="94">
        <f>($E18*$F18*'Table5 - Calculated values'!$D$7)/10^6</f>
        <v>0.18352172828028587</v>
      </c>
      <c r="I18" s="52">
        <f t="shared" si="1"/>
        <v>9.4511138263614109E-4</v>
      </c>
      <c r="J18" s="148"/>
      <c r="K18" s="155"/>
      <c r="L18" s="87">
        <f t="shared" si="0"/>
        <v>9.5214969430453955</v>
      </c>
      <c r="M18" s="145"/>
    </row>
    <row r="19" spans="1:14" x14ac:dyDescent="0.3">
      <c r="A19" s="152"/>
      <c r="B19" s="150"/>
      <c r="C19" s="1" t="s">
        <v>61</v>
      </c>
      <c r="D19" s="56">
        <f>D20-SUM(D4:D18)</f>
        <v>0.26996625421822285</v>
      </c>
      <c r="E19" s="12">
        <f>$E$20-SUM(E4:E18)</f>
        <v>240</v>
      </c>
      <c r="F19" s="50">
        <f>'Table6 - Emissions'!I10</f>
        <v>481</v>
      </c>
      <c r="G19" s="148"/>
      <c r="H19" s="94">
        <f>($E19*$F19*'Table5 - Calculated values'!$D$7)/10^6</f>
        <v>61.261112260967373</v>
      </c>
      <c r="I19" s="52">
        <f>$H19/$H$20</f>
        <v>0.3154862100163115</v>
      </c>
      <c r="J19" s="148"/>
      <c r="K19" s="155"/>
      <c r="L19" s="87">
        <f t="shared" si="0"/>
        <v>0.85571491129284183</v>
      </c>
      <c r="M19" s="145"/>
    </row>
    <row r="20" spans="1:14" x14ac:dyDescent="0.3">
      <c r="A20" s="152"/>
      <c r="B20" s="151"/>
      <c r="C20" s="47" t="s">
        <v>62</v>
      </c>
      <c r="D20" s="93">
        <v>1</v>
      </c>
      <c r="E20" s="90">
        <f>'Appendix_BC-Networks'!AB31</f>
        <v>889</v>
      </c>
      <c r="F20" s="89"/>
      <c r="G20" s="149"/>
      <c r="H20" s="95">
        <f>'Table4 - Overview of systems'!D7</f>
        <v>194.18</v>
      </c>
      <c r="I20" s="53">
        <f t="shared" ref="I20" si="2">$H20/$H$20</f>
        <v>1</v>
      </c>
      <c r="J20" s="149"/>
      <c r="K20" s="155"/>
      <c r="L20" s="88"/>
      <c r="M20" s="146"/>
    </row>
    <row r="21" spans="1:14" s="43" customFormat="1" x14ac:dyDescent="0.3">
      <c r="A21"/>
      <c r="B21" s="57"/>
      <c r="C21"/>
      <c r="D21" s="22"/>
      <c r="E21"/>
      <c r="F21"/>
      <c r="G21"/>
      <c r="H21"/>
      <c r="I21" s="57"/>
      <c r="J21"/>
      <c r="K21" s="22"/>
      <c r="L21"/>
      <c r="M21"/>
      <c r="N21"/>
    </row>
    <row r="22" spans="1:14" x14ac:dyDescent="0.3">
      <c r="H22" s="81"/>
      <c r="I22" s="83"/>
      <c r="J22" s="81"/>
    </row>
    <row r="23" spans="1:14" x14ac:dyDescent="0.3">
      <c r="H23" s="81"/>
      <c r="I23" s="82"/>
      <c r="J23" s="81"/>
      <c r="K23" s="84"/>
    </row>
  </sheetData>
  <mergeCells count="11">
    <mergeCell ref="A2:A20"/>
    <mergeCell ref="B2:C2"/>
    <mergeCell ref="D2:E2"/>
    <mergeCell ref="G2:G20"/>
    <mergeCell ref="H2:I2"/>
    <mergeCell ref="K2:L2"/>
    <mergeCell ref="M2:M20"/>
    <mergeCell ref="B3:C3"/>
    <mergeCell ref="K4:K20"/>
    <mergeCell ref="B19:B20"/>
    <mergeCell ref="J2:J20"/>
  </mergeCells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5543C-249F-44AA-B4A7-6C3185C79B3B}">
  <dimension ref="B1:E8"/>
  <sheetViews>
    <sheetView workbookViewId="0">
      <selection activeCell="C4" sqref="C4"/>
    </sheetView>
  </sheetViews>
  <sheetFormatPr defaultColWidth="11.44140625" defaultRowHeight="14.4" x14ac:dyDescent="0.3"/>
  <cols>
    <col min="3" max="3" width="21.33203125" bestFit="1" customWidth="1"/>
    <col min="4" max="4" width="12.44140625" bestFit="1" customWidth="1"/>
  </cols>
  <sheetData>
    <row r="1" spans="2:5" ht="25.2" customHeight="1" x14ac:dyDescent="0.3">
      <c r="B1" s="125" t="s">
        <v>299</v>
      </c>
      <c r="C1" s="125" t="s">
        <v>300</v>
      </c>
      <c r="D1" s="125" t="s">
        <v>301</v>
      </c>
      <c r="E1" s="125" t="s">
        <v>302</v>
      </c>
    </row>
    <row r="2" spans="2:5" ht="34.200000000000003" customHeight="1" x14ac:dyDescent="0.3">
      <c r="B2" s="125" t="s">
        <v>303</v>
      </c>
      <c r="C2" s="125" t="s">
        <v>304</v>
      </c>
      <c r="D2" s="125" t="s">
        <v>305</v>
      </c>
      <c r="E2" s="125" t="s">
        <v>306</v>
      </c>
    </row>
    <row r="3" spans="2:5" x14ac:dyDescent="0.3">
      <c r="B3" s="125" t="s">
        <v>1</v>
      </c>
      <c r="C3" s="35">
        <f>'Table5 - Calculated values'!B3*6</f>
        <v>6269.2022968975025</v>
      </c>
      <c r="D3" s="35">
        <f>'Table4 - Overview of systems'!E3/1000*6</f>
        <v>2467.8372821139269</v>
      </c>
      <c r="E3" s="100">
        <f>'Table5 - Calculated values'!F3*6</f>
        <v>6.0720000000000001</v>
      </c>
    </row>
    <row r="4" spans="2:5" x14ac:dyDescent="0.3">
      <c r="B4" s="125" t="s">
        <v>2</v>
      </c>
      <c r="C4" s="100">
        <f>'Table5 - Calculated values'!B4*6</f>
        <v>4.8451274189593996E-2</v>
      </c>
      <c r="D4" s="100">
        <f>'Table4 - Overview of systems'!E4/1000*6</f>
        <v>1.4804891039388139E-2</v>
      </c>
      <c r="E4" s="100">
        <f>'Table5 - Calculated values'!F4*6</f>
        <v>3.3540000000000001</v>
      </c>
    </row>
    <row r="5" spans="2:5" x14ac:dyDescent="0.3">
      <c r="B5" s="125" t="s">
        <v>3</v>
      </c>
      <c r="C5" s="100">
        <f>'Table5 - Calculated values'!B5*6</f>
        <v>9.2954167042687677E-2</v>
      </c>
      <c r="D5" s="100">
        <f>'Table4 - Overview of systems'!E5/1000*6</f>
        <v>3.1888236567539543E-2</v>
      </c>
      <c r="E5" s="100">
        <f>'Table5 - Calculated values'!F5*6</f>
        <v>0.57131229599999989</v>
      </c>
    </row>
    <row r="6" spans="2:5" x14ac:dyDescent="0.3">
      <c r="B6" s="125" t="s">
        <v>4</v>
      </c>
      <c r="C6" s="100">
        <f>'Table5 - Calculated values'!B6*6</f>
        <v>1.0825932684888314E-3</v>
      </c>
      <c r="D6" s="100">
        <f>'Table5 - Calculated values'!E6/1000*6</f>
        <v>1.9332349841938881E-3</v>
      </c>
      <c r="E6" s="100">
        <f>'Table5 - Calculated values'!F6*6</f>
        <v>9.1499999999999984E-3</v>
      </c>
    </row>
    <row r="7" spans="2:5" x14ac:dyDescent="0.3">
      <c r="B7" s="125" t="s">
        <v>5</v>
      </c>
      <c r="C7" s="100">
        <f>'Table5 - Calculated values'!B7*6</f>
        <v>7.2503265518268408E-3</v>
      </c>
      <c r="D7" s="100">
        <f>'Table4 - Overview of systems'!E7/1000*6</f>
        <v>2.984226232769646E-3</v>
      </c>
      <c r="E7" s="100">
        <f>'Table5 - Calculated values'!F7*6</f>
        <v>5.0999999999999995E-3</v>
      </c>
    </row>
    <row r="8" spans="2:5" x14ac:dyDescent="0.3">
      <c r="B8" s="125" t="s">
        <v>218</v>
      </c>
      <c r="C8" s="101" t="s">
        <v>251</v>
      </c>
      <c r="D8" s="110">
        <f>'Table4 - Overview of systems'!E8/1000*6</f>
        <v>4.8600731549881669E-4</v>
      </c>
      <c r="E8" s="101">
        <v>0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9440E-38AD-4439-91E0-40EA9E6F1151}">
  <dimension ref="A1:B6"/>
  <sheetViews>
    <sheetView workbookViewId="0">
      <selection activeCell="A13" sqref="A13"/>
    </sheetView>
  </sheetViews>
  <sheetFormatPr defaultColWidth="11.44140625" defaultRowHeight="14.4" x14ac:dyDescent="0.3"/>
  <cols>
    <col min="1" max="1" width="20.6640625" bestFit="1" customWidth="1"/>
    <col min="2" max="2" width="21.5546875" bestFit="1" customWidth="1"/>
  </cols>
  <sheetData>
    <row r="1" spans="1:2" ht="28.8" x14ac:dyDescent="0.3">
      <c r="A1" s="125" t="s">
        <v>307</v>
      </c>
      <c r="B1" s="125" t="s">
        <v>308</v>
      </c>
    </row>
    <row r="2" spans="1:2" x14ac:dyDescent="0.3">
      <c r="A2" s="1" t="s">
        <v>309</v>
      </c>
      <c r="B2" s="1">
        <v>1063</v>
      </c>
    </row>
    <row r="3" spans="1:2" x14ac:dyDescent="0.3">
      <c r="A3" s="1" t="s">
        <v>310</v>
      </c>
      <c r="B3" s="1">
        <v>1063</v>
      </c>
    </row>
    <row r="4" spans="1:2" x14ac:dyDescent="0.3">
      <c r="A4" s="1" t="s">
        <v>311</v>
      </c>
      <c r="B4" s="1">
        <v>823</v>
      </c>
    </row>
    <row r="5" spans="1:2" x14ac:dyDescent="0.3">
      <c r="A5" s="1" t="s">
        <v>312</v>
      </c>
      <c r="B5" s="1">
        <v>789</v>
      </c>
    </row>
    <row r="6" spans="1:2" x14ac:dyDescent="0.3">
      <c r="A6" s="1" t="s">
        <v>313</v>
      </c>
      <c r="B6" s="1">
        <v>722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DE9AE-7B1D-4251-863E-E34D7BA78299}">
  <dimension ref="A1:F13"/>
  <sheetViews>
    <sheetView zoomScale="130" zoomScaleNormal="130" workbookViewId="0">
      <selection activeCell="N17" sqref="N17"/>
    </sheetView>
  </sheetViews>
  <sheetFormatPr defaultColWidth="11.44140625" defaultRowHeight="14.4" x14ac:dyDescent="0.3"/>
  <cols>
    <col min="1" max="1" width="16.33203125" bestFit="1" customWidth="1"/>
    <col min="2" max="2" width="18.44140625" customWidth="1"/>
    <col min="3" max="4" width="16.88671875" customWidth="1"/>
    <col min="5" max="5" width="19" customWidth="1"/>
  </cols>
  <sheetData>
    <row r="1" spans="1:6" ht="28.8" x14ac:dyDescent="0.3">
      <c r="A1" s="125" t="s">
        <v>303</v>
      </c>
      <c r="B1" s="125" t="s">
        <v>314</v>
      </c>
      <c r="C1" s="125" t="s">
        <v>315</v>
      </c>
      <c r="D1" s="125" t="s">
        <v>316</v>
      </c>
      <c r="E1" s="125" t="s">
        <v>317</v>
      </c>
    </row>
    <row r="2" spans="1:6" ht="28.8" x14ac:dyDescent="0.3">
      <c r="A2" s="159" t="s">
        <v>318</v>
      </c>
      <c r="B2" s="113" t="s">
        <v>319</v>
      </c>
      <c r="C2" s="113" t="s">
        <v>319</v>
      </c>
      <c r="D2" s="113" t="s">
        <v>320</v>
      </c>
      <c r="E2" s="113" t="s">
        <v>319</v>
      </c>
    </row>
    <row r="3" spans="1:6" x14ac:dyDescent="0.3">
      <c r="A3" s="159"/>
      <c r="B3" s="107">
        <f>'Table5 - Calculated values'!B3</f>
        <v>1044.8670494829171</v>
      </c>
      <c r="C3" s="108">
        <f>'Table4 - Overview of systems'!E3</f>
        <v>411306.21368565451</v>
      </c>
      <c r="D3" s="102">
        <v>7</v>
      </c>
      <c r="E3" s="105">
        <f>'Table5 - Calculated values'!F3</f>
        <v>1.012</v>
      </c>
      <c r="F3" s="102"/>
    </row>
    <row r="4" spans="1:6" ht="28.8" x14ac:dyDescent="0.3">
      <c r="A4" s="160" t="s">
        <v>321</v>
      </c>
      <c r="B4" s="115" t="s">
        <v>320</v>
      </c>
      <c r="C4" s="115" t="s">
        <v>320</v>
      </c>
      <c r="D4" s="114" t="s">
        <v>322</v>
      </c>
      <c r="E4" s="114" t="s">
        <v>323</v>
      </c>
    </row>
    <row r="5" spans="1:6" x14ac:dyDescent="0.3">
      <c r="A5" s="160"/>
      <c r="B5" s="104">
        <f>'Table5 - Calculated values'!B4</f>
        <v>8.0752123649323326E-3</v>
      </c>
      <c r="C5" s="106">
        <f>'Table4 - Overview of systems'!E4</f>
        <v>2.4674818398980234</v>
      </c>
      <c r="D5" s="102">
        <v>16.5</v>
      </c>
      <c r="E5" s="105">
        <f>'Table5 - Calculated values'!F4</f>
        <v>0.55900000000000005</v>
      </c>
    </row>
    <row r="6" spans="1:6" ht="28.8" x14ac:dyDescent="0.3">
      <c r="A6" s="160" t="s">
        <v>324</v>
      </c>
      <c r="B6" s="115" t="s">
        <v>322</v>
      </c>
      <c r="C6" s="115" t="s">
        <v>320</v>
      </c>
      <c r="D6" s="113" t="s">
        <v>325</v>
      </c>
      <c r="E6" s="114" t="s">
        <v>322</v>
      </c>
    </row>
    <row r="7" spans="1:6" x14ac:dyDescent="0.3">
      <c r="A7" s="160"/>
      <c r="B7" s="104">
        <f>'Table5 - Calculated values'!B5</f>
        <v>1.5492361173781279E-2</v>
      </c>
      <c r="C7" s="106">
        <f>'Table4 - Overview of systems'!E5</f>
        <v>5.3147060945899245</v>
      </c>
      <c r="D7" s="102">
        <v>5.7</v>
      </c>
      <c r="E7" s="105">
        <f>'Table5 - Calculated values'!F5</f>
        <v>9.5218715999999981E-2</v>
      </c>
    </row>
    <row r="8" spans="1:6" ht="28.8" x14ac:dyDescent="0.3">
      <c r="A8" s="158" t="s">
        <v>326</v>
      </c>
      <c r="B8" s="115" t="s">
        <v>327</v>
      </c>
      <c r="C8" s="115" t="s">
        <v>327</v>
      </c>
      <c r="D8" s="115" t="s">
        <v>319</v>
      </c>
      <c r="E8" s="115" t="s">
        <v>327</v>
      </c>
    </row>
    <row r="9" spans="1:6" x14ac:dyDescent="0.3">
      <c r="A9" s="158"/>
      <c r="B9" s="104">
        <f>'Table5 - Calculated values'!B6</f>
        <v>1.8043221141480524E-4</v>
      </c>
      <c r="C9" s="106">
        <f>'Table4 - Overview of systems'!E6</f>
        <v>5.5457485466031083E-2</v>
      </c>
      <c r="D9" s="102">
        <v>50000</v>
      </c>
      <c r="E9" s="105">
        <f>'Table5 - Calculated values'!F6</f>
        <v>1.5249999999999999E-3</v>
      </c>
    </row>
    <row r="10" spans="1:6" ht="28.8" x14ac:dyDescent="0.3">
      <c r="A10" s="158" t="s">
        <v>328</v>
      </c>
      <c r="B10" s="115" t="s">
        <v>327</v>
      </c>
      <c r="C10" s="115" t="s">
        <v>327</v>
      </c>
      <c r="D10" s="114" t="s">
        <v>329</v>
      </c>
      <c r="E10" s="115" t="s">
        <v>327</v>
      </c>
    </row>
    <row r="11" spans="1:6" x14ac:dyDescent="0.3">
      <c r="A11" s="158"/>
      <c r="B11" s="104">
        <f>'Table5 - Calculated values'!B7</f>
        <v>1.2083877586378069E-3</v>
      </c>
      <c r="C11" s="106">
        <f>'Table4 - Overview of systems'!E7</f>
        <v>0.49737103879494104</v>
      </c>
      <c r="D11" s="102">
        <v>1500</v>
      </c>
      <c r="E11" s="105">
        <f>'Table5 - Calculated values'!F7</f>
        <v>8.4999999999999995E-4</v>
      </c>
    </row>
    <row r="12" spans="1:6" ht="28.8" x14ac:dyDescent="0.3">
      <c r="A12" s="158" t="s">
        <v>330</v>
      </c>
      <c r="B12" s="115" t="s">
        <v>327</v>
      </c>
      <c r="C12" s="115" t="s">
        <v>327</v>
      </c>
      <c r="D12" s="115" t="s">
        <v>331</v>
      </c>
      <c r="E12" s="116" t="s">
        <v>332</v>
      </c>
    </row>
    <row r="13" spans="1:6" x14ac:dyDescent="0.3">
      <c r="A13" s="158"/>
      <c r="B13" s="111">
        <f>'Table5 - Calculated values'!B8</f>
        <v>3.124291759305745E-4</v>
      </c>
      <c r="C13" s="109">
        <f>'Table4 - Overview of systems'!E8</f>
        <v>8.1001219249802775E-2</v>
      </c>
      <c r="D13" s="46" t="s">
        <v>333</v>
      </c>
      <c r="E13" s="46">
        <v>0</v>
      </c>
    </row>
  </sheetData>
  <mergeCells count="6">
    <mergeCell ref="A12:A13"/>
    <mergeCell ref="A2:A3"/>
    <mergeCell ref="A4:A5"/>
    <mergeCell ref="A6:A7"/>
    <mergeCell ref="A8:A9"/>
    <mergeCell ref="A10:A11"/>
  </mergeCell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292CE-3484-448E-8BE3-29B5BC7A0488}">
  <dimension ref="A1:O236"/>
  <sheetViews>
    <sheetView topLeftCell="A18" zoomScale="85" zoomScaleNormal="85" workbookViewId="0">
      <pane xSplit="1" ySplit="5" topLeftCell="B197" activePane="bottomRight" state="frozen"/>
      <selection pane="topRight" activeCell="B18" sqref="B18"/>
      <selection pane="bottomLeft" activeCell="A23" sqref="A23"/>
      <selection pane="bottomRight" activeCell="R209" sqref="R209"/>
    </sheetView>
  </sheetViews>
  <sheetFormatPr defaultColWidth="8.5546875" defaultRowHeight="14.4" x14ac:dyDescent="0.3"/>
  <cols>
    <col min="1" max="1" width="25.6640625" customWidth="1"/>
    <col min="2" max="2" width="8.33203125" customWidth="1"/>
    <col min="3" max="4" width="8.44140625" customWidth="1"/>
    <col min="5" max="5" width="12.33203125" customWidth="1"/>
    <col min="6" max="9" width="16.5546875" customWidth="1"/>
    <col min="10" max="10" width="16.5546875" style="35" customWidth="1"/>
    <col min="11" max="11" width="25.5546875" style="11" customWidth="1"/>
    <col min="12" max="12" width="25.5546875" style="30" customWidth="1"/>
    <col min="13" max="13" width="25.5546875" style="11" customWidth="1"/>
    <col min="14" max="14" width="10.5546875" customWidth="1"/>
    <col min="15" max="15" width="11.5546875" customWidth="1"/>
  </cols>
  <sheetData>
    <row r="1" spans="1:8" ht="23.4" hidden="1" x14ac:dyDescent="0.45">
      <c r="A1" s="19" t="s">
        <v>334</v>
      </c>
    </row>
    <row r="2" spans="1:8" hidden="1" x14ac:dyDescent="0.3">
      <c r="A2" s="20" t="s">
        <v>335</v>
      </c>
    </row>
    <row r="3" spans="1:8" hidden="1" x14ac:dyDescent="0.3">
      <c r="A3" s="20" t="s">
        <v>336</v>
      </c>
      <c r="F3" s="126"/>
    </row>
    <row r="4" spans="1:8" hidden="1" x14ac:dyDescent="0.3">
      <c r="A4" s="21"/>
      <c r="F4" s="126"/>
    </row>
    <row r="5" spans="1:8" hidden="1" x14ac:dyDescent="0.3">
      <c r="A5" s="22" t="s">
        <v>337</v>
      </c>
      <c r="F5" s="126"/>
    </row>
    <row r="6" spans="1:8" hidden="1" x14ac:dyDescent="0.3">
      <c r="A6" t="s">
        <v>338</v>
      </c>
      <c r="F6" s="126"/>
    </row>
    <row r="7" spans="1:8" hidden="1" x14ac:dyDescent="0.3">
      <c r="A7" t="s">
        <v>339</v>
      </c>
      <c r="F7" s="126"/>
    </row>
    <row r="8" spans="1:8" hidden="1" x14ac:dyDescent="0.3">
      <c r="F8" s="126"/>
    </row>
    <row r="9" spans="1:8" hidden="1" x14ac:dyDescent="0.3">
      <c r="A9" s="23" t="s">
        <v>340</v>
      </c>
      <c r="H9" s="126"/>
    </row>
    <row r="10" spans="1:8" hidden="1" x14ac:dyDescent="0.3">
      <c r="A10" s="24" t="s">
        <v>341</v>
      </c>
      <c r="H10" s="126"/>
    </row>
    <row r="11" spans="1:8" hidden="1" x14ac:dyDescent="0.3">
      <c r="F11" s="25"/>
    </row>
    <row r="12" spans="1:8" hidden="1" x14ac:dyDescent="0.3">
      <c r="A12" t="s">
        <v>342</v>
      </c>
      <c r="H12" s="126"/>
    </row>
    <row r="13" spans="1:8" hidden="1" x14ac:dyDescent="0.3">
      <c r="A13" t="s">
        <v>343</v>
      </c>
      <c r="H13" s="126"/>
    </row>
    <row r="14" spans="1:8" hidden="1" x14ac:dyDescent="0.3">
      <c r="H14" s="126"/>
    </row>
    <row r="15" spans="1:8" hidden="1" x14ac:dyDescent="0.3">
      <c r="A15" t="s">
        <v>344</v>
      </c>
      <c r="H15" s="126"/>
    </row>
    <row r="16" spans="1:8" hidden="1" x14ac:dyDescent="0.3">
      <c r="A16" t="s">
        <v>345</v>
      </c>
      <c r="H16" s="126"/>
    </row>
    <row r="17" spans="1:15" hidden="1" x14ac:dyDescent="0.3">
      <c r="E17" s="26"/>
      <c r="F17" s="26"/>
      <c r="G17" s="26"/>
      <c r="H17" s="27"/>
    </row>
    <row r="18" spans="1:15" x14ac:dyDescent="0.3">
      <c r="H18" s="126"/>
    </row>
    <row r="19" spans="1:15" x14ac:dyDescent="0.3">
      <c r="H19" s="126"/>
    </row>
    <row r="20" spans="1:15" ht="30" customHeight="1" x14ac:dyDescent="0.3">
      <c r="A20" s="161" t="s">
        <v>346</v>
      </c>
      <c r="B20" s="161"/>
      <c r="C20" s="161"/>
      <c r="D20" s="161"/>
      <c r="E20" s="161"/>
      <c r="F20" s="161"/>
      <c r="G20" s="161"/>
      <c r="H20" s="161"/>
      <c r="I20" s="161"/>
      <c r="J20" s="36"/>
      <c r="K20" s="164" t="s">
        <v>347</v>
      </c>
      <c r="L20" s="166" t="s">
        <v>348</v>
      </c>
      <c r="M20" s="162" t="s">
        <v>349</v>
      </c>
    </row>
    <row r="21" spans="1:15" ht="43.2" customHeight="1" x14ac:dyDescent="0.35">
      <c r="E21" s="13"/>
      <c r="F21" s="34" t="s">
        <v>350</v>
      </c>
      <c r="G21" s="28" t="s">
        <v>351</v>
      </c>
      <c r="H21" s="28" t="s">
        <v>351</v>
      </c>
      <c r="I21" s="28" t="s">
        <v>351</v>
      </c>
      <c r="J21" s="37" t="s">
        <v>350</v>
      </c>
      <c r="K21" s="165"/>
      <c r="L21" s="167"/>
      <c r="M21" s="163"/>
    </row>
    <row r="22" spans="1:15" ht="87" x14ac:dyDescent="0.35">
      <c r="A22" s="14" t="s">
        <v>8</v>
      </c>
      <c r="B22" s="15" t="s">
        <v>352</v>
      </c>
      <c r="C22" s="15" t="s">
        <v>353</v>
      </c>
      <c r="D22" s="15" t="s">
        <v>354</v>
      </c>
      <c r="E22" s="16" t="s">
        <v>355</v>
      </c>
      <c r="F22" s="117" t="s">
        <v>356</v>
      </c>
      <c r="G22" s="17" t="s">
        <v>357</v>
      </c>
      <c r="H22" s="17" t="s">
        <v>358</v>
      </c>
      <c r="I22" s="17" t="s">
        <v>359</v>
      </c>
      <c r="J22" s="38" t="s">
        <v>360</v>
      </c>
      <c r="K22" s="29" t="s">
        <v>361</v>
      </c>
      <c r="L22" s="31" t="s">
        <v>361</v>
      </c>
      <c r="M22" s="29" t="s">
        <v>361</v>
      </c>
      <c r="O22" s="41" t="s">
        <v>362</v>
      </c>
    </row>
    <row r="23" spans="1:15" x14ac:dyDescent="0.3">
      <c r="A23" s="1" t="s">
        <v>363</v>
      </c>
      <c r="B23" s="1" t="s">
        <v>364</v>
      </c>
      <c r="C23" s="1" t="s">
        <v>365</v>
      </c>
      <c r="D23" s="1">
        <v>2024</v>
      </c>
      <c r="E23" s="1">
        <v>2022</v>
      </c>
      <c r="F23" s="18">
        <v>0.12835125703601588</v>
      </c>
      <c r="G23" s="18">
        <v>1.8849737328730187E-2</v>
      </c>
      <c r="H23" s="18">
        <v>2.6783908622790138E-2</v>
      </c>
      <c r="I23" s="18">
        <v>3.9334997867191681E-3</v>
      </c>
      <c r="J23" s="39">
        <f>$F23*1000</f>
        <v>128.35125703601588</v>
      </c>
      <c r="K23" s="127"/>
      <c r="L23" s="32"/>
      <c r="M23" s="40"/>
    </row>
    <row r="24" spans="1:15" x14ac:dyDescent="0.3">
      <c r="A24" s="7" t="s">
        <v>57</v>
      </c>
      <c r="B24" s="1" t="s">
        <v>366</v>
      </c>
      <c r="C24" s="1" t="s">
        <v>367</v>
      </c>
      <c r="D24" s="1">
        <v>2024</v>
      </c>
      <c r="E24" s="1">
        <v>2022</v>
      </c>
      <c r="F24" s="18">
        <v>0</v>
      </c>
      <c r="G24" s="18">
        <v>0</v>
      </c>
      <c r="H24" s="18">
        <v>0</v>
      </c>
      <c r="I24" s="18">
        <v>0</v>
      </c>
      <c r="J24" s="42">
        <f t="shared" ref="J24:J87" si="0">$F24*1000</f>
        <v>0</v>
      </c>
      <c r="K24" s="127">
        <v>24</v>
      </c>
      <c r="L24" s="32">
        <v>113</v>
      </c>
      <c r="M24" s="40" t="s">
        <v>368</v>
      </c>
    </row>
    <row r="25" spans="1:15" x14ac:dyDescent="0.3">
      <c r="A25" s="1" t="s">
        <v>369</v>
      </c>
      <c r="B25" s="1" t="s">
        <v>370</v>
      </c>
      <c r="C25" s="1" t="s">
        <v>371</v>
      </c>
      <c r="D25" s="1">
        <v>2024</v>
      </c>
      <c r="E25" s="1">
        <v>2022</v>
      </c>
      <c r="F25" s="18">
        <v>0.50817937633366483</v>
      </c>
      <c r="G25" s="18">
        <v>7.6395432206316935E-2</v>
      </c>
      <c r="H25" s="18">
        <v>8.3401860085883767E-2</v>
      </c>
      <c r="I25" s="18">
        <v>1.253793728120205E-2</v>
      </c>
      <c r="J25" s="39">
        <f t="shared" si="0"/>
        <v>508.17937633366483</v>
      </c>
      <c r="K25" s="127"/>
      <c r="L25" s="32"/>
      <c r="M25" s="40"/>
    </row>
    <row r="26" spans="1:15" x14ac:dyDescent="0.3">
      <c r="A26" s="1" t="s">
        <v>372</v>
      </c>
      <c r="B26" s="1" t="s">
        <v>373</v>
      </c>
      <c r="C26" s="1" t="s">
        <v>374</v>
      </c>
      <c r="D26" s="1">
        <v>2024</v>
      </c>
      <c r="E26" s="1">
        <v>2022</v>
      </c>
      <c r="F26" s="18">
        <v>0.72806453030270279</v>
      </c>
      <c r="G26" s="18">
        <v>4.9962377592041883E-2</v>
      </c>
      <c r="H26" s="18">
        <v>0.16058107352432432</v>
      </c>
      <c r="I26" s="18">
        <v>1.1019644407374241E-2</v>
      </c>
      <c r="J26" s="39">
        <f t="shared" si="0"/>
        <v>728.06453030270279</v>
      </c>
      <c r="K26" s="127"/>
      <c r="L26" s="32"/>
      <c r="M26" s="40"/>
    </row>
    <row r="27" spans="1:15" x14ac:dyDescent="0.3">
      <c r="A27" s="1" t="s">
        <v>375</v>
      </c>
      <c r="B27" s="1" t="s">
        <v>376</v>
      </c>
      <c r="C27" s="1" t="s">
        <v>377</v>
      </c>
      <c r="D27" s="1">
        <v>2024</v>
      </c>
      <c r="E27" s="1">
        <v>2022</v>
      </c>
      <c r="F27" s="18">
        <v>0.16696990963311259</v>
      </c>
      <c r="G27" s="18">
        <v>2.5100858094437985E-2</v>
      </c>
      <c r="H27" s="18">
        <v>3.4259444332468997E-2</v>
      </c>
      <c r="I27" s="18">
        <v>5.1502779900472733E-3</v>
      </c>
      <c r="J27" s="39">
        <f t="shared" si="0"/>
        <v>166.96990963311259</v>
      </c>
      <c r="K27" s="127"/>
      <c r="L27" s="32"/>
      <c r="M27" s="40"/>
    </row>
    <row r="28" spans="1:15" x14ac:dyDescent="0.3">
      <c r="A28" s="1" t="s">
        <v>378</v>
      </c>
      <c r="B28" s="1" t="s">
        <v>379</v>
      </c>
      <c r="C28" s="1" t="s">
        <v>380</v>
      </c>
      <c r="D28" s="1">
        <v>2024</v>
      </c>
      <c r="E28" s="1">
        <v>2022</v>
      </c>
      <c r="F28" s="18">
        <v>0.72806453030270279</v>
      </c>
      <c r="G28" s="18">
        <v>0.13816706101065296</v>
      </c>
      <c r="H28" s="18">
        <v>0.16058107352432432</v>
      </c>
      <c r="I28" s="18">
        <v>3.0473967703888712E-2</v>
      </c>
      <c r="J28" s="39">
        <f t="shared" si="0"/>
        <v>728.06453030270279</v>
      </c>
      <c r="K28" s="127"/>
      <c r="L28" s="32"/>
      <c r="M28" s="40"/>
    </row>
    <row r="29" spans="1:15" x14ac:dyDescent="0.3">
      <c r="A29" s="7" t="s">
        <v>70</v>
      </c>
      <c r="B29" s="1" t="s">
        <v>381</v>
      </c>
      <c r="C29" s="1" t="s">
        <v>382</v>
      </c>
      <c r="D29" s="1">
        <v>2024</v>
      </c>
      <c r="E29" s="1">
        <v>2022</v>
      </c>
      <c r="F29" s="18">
        <v>0.37617188209391705</v>
      </c>
      <c r="G29" s="18">
        <v>7.1387303213567149E-2</v>
      </c>
      <c r="H29" s="18">
        <v>6.8439668810343426E-2</v>
      </c>
      <c r="I29" s="18">
        <v>1.298800793404411E-2</v>
      </c>
      <c r="J29" s="39">
        <f t="shared" si="0"/>
        <v>376.17188209391708</v>
      </c>
      <c r="K29" s="127">
        <v>354</v>
      </c>
      <c r="L29" s="32">
        <v>433</v>
      </c>
      <c r="M29" s="40">
        <v>405</v>
      </c>
    </row>
    <row r="30" spans="1:15" x14ac:dyDescent="0.3">
      <c r="A30" s="1" t="s">
        <v>383</v>
      </c>
      <c r="B30" s="1" t="s">
        <v>384</v>
      </c>
      <c r="C30" s="1" t="s">
        <v>385</v>
      </c>
      <c r="D30" s="1">
        <v>2024</v>
      </c>
      <c r="E30" s="1">
        <v>2022</v>
      </c>
      <c r="F30" s="18">
        <v>0.22199656094</v>
      </c>
      <c r="G30" s="18">
        <v>3.2602538987415101E-2</v>
      </c>
      <c r="H30" s="18">
        <v>3.6351393809499997E-2</v>
      </c>
      <c r="I30" s="18">
        <v>5.3385860073815227E-3</v>
      </c>
      <c r="J30" s="39">
        <f t="shared" si="0"/>
        <v>221.99656093999999</v>
      </c>
      <c r="K30" s="127"/>
      <c r="L30" s="32"/>
      <c r="M30" s="40"/>
    </row>
    <row r="31" spans="1:15" x14ac:dyDescent="0.3">
      <c r="A31" s="1" t="s">
        <v>386</v>
      </c>
      <c r="B31" s="1" t="s">
        <v>387</v>
      </c>
      <c r="C31" s="1" t="s">
        <v>388</v>
      </c>
      <c r="D31" s="1">
        <v>2024</v>
      </c>
      <c r="E31" s="1">
        <v>2022</v>
      </c>
      <c r="F31" s="18">
        <v>0.65289825384864852</v>
      </c>
      <c r="G31" s="18">
        <v>0.1239025239091779</v>
      </c>
      <c r="H31" s="18">
        <v>0.14400248623783782</v>
      </c>
      <c r="I31" s="18">
        <v>2.7327797844288404E-2</v>
      </c>
      <c r="J31" s="39">
        <f t="shared" si="0"/>
        <v>652.89825384864855</v>
      </c>
      <c r="K31" s="127"/>
      <c r="L31" s="32"/>
      <c r="M31" s="40"/>
    </row>
    <row r="32" spans="1:15" x14ac:dyDescent="0.3">
      <c r="A32" s="7" t="s">
        <v>26</v>
      </c>
      <c r="B32" s="1" t="s">
        <v>268</v>
      </c>
      <c r="C32" s="1" t="s">
        <v>389</v>
      </c>
      <c r="D32" s="1">
        <v>2024</v>
      </c>
      <c r="E32" s="1">
        <v>2022</v>
      </c>
      <c r="F32" s="18">
        <v>0.59512037457837297</v>
      </c>
      <c r="G32" s="18">
        <v>3.5841812136603098E-2</v>
      </c>
      <c r="H32" s="18">
        <v>0.10632678499740196</v>
      </c>
      <c r="I32" s="18">
        <v>6.4036534720657524E-3</v>
      </c>
      <c r="J32" s="39">
        <f t="shared" si="0"/>
        <v>595.120374578373</v>
      </c>
      <c r="K32" s="127">
        <v>549</v>
      </c>
      <c r="L32" s="32">
        <v>556</v>
      </c>
      <c r="M32" s="40">
        <v>842</v>
      </c>
    </row>
    <row r="33" spans="1:13" x14ac:dyDescent="0.3">
      <c r="A33" s="7" t="s">
        <v>35</v>
      </c>
      <c r="B33" s="1" t="s">
        <v>255</v>
      </c>
      <c r="C33" s="1" t="s">
        <v>390</v>
      </c>
      <c r="D33" s="1">
        <v>2024</v>
      </c>
      <c r="E33" s="1">
        <v>2022</v>
      </c>
      <c r="F33" s="18">
        <v>0.11733398797474681</v>
      </c>
      <c r="G33" s="18">
        <v>6.9131100448740074E-3</v>
      </c>
      <c r="H33" s="18">
        <v>2.8859376352725646E-2</v>
      </c>
      <c r="I33" s="18">
        <v>1.7003431656628439E-3</v>
      </c>
      <c r="J33" s="39">
        <f t="shared" si="0"/>
        <v>117.3339879747468</v>
      </c>
      <c r="K33" s="127">
        <v>111</v>
      </c>
      <c r="L33" s="32">
        <v>269</v>
      </c>
      <c r="M33" s="40">
        <v>245</v>
      </c>
    </row>
    <row r="34" spans="1:13" x14ac:dyDescent="0.3">
      <c r="A34" s="1" t="s">
        <v>391</v>
      </c>
      <c r="B34" s="1" t="s">
        <v>392</v>
      </c>
      <c r="C34" s="1" t="s">
        <v>393</v>
      </c>
      <c r="D34" s="1">
        <v>2024</v>
      </c>
      <c r="E34" s="1">
        <v>2022</v>
      </c>
      <c r="F34" s="18">
        <v>0.47943070482112937</v>
      </c>
      <c r="G34" s="18">
        <v>7.0409461207461402E-2</v>
      </c>
      <c r="H34" s="18">
        <v>7.8993135176949808E-2</v>
      </c>
      <c r="I34" s="18">
        <v>1.1600975972058935E-2</v>
      </c>
      <c r="J34" s="39">
        <f t="shared" si="0"/>
        <v>479.43070482112938</v>
      </c>
      <c r="K34" s="127"/>
      <c r="L34" s="32"/>
      <c r="M34" s="40"/>
    </row>
    <row r="35" spans="1:13" x14ac:dyDescent="0.3">
      <c r="A35" s="1" t="s">
        <v>394</v>
      </c>
      <c r="B35" s="1" t="s">
        <v>395</v>
      </c>
      <c r="C35" s="1" t="s">
        <v>396</v>
      </c>
      <c r="D35" s="1">
        <v>2024</v>
      </c>
      <c r="E35" s="1">
        <v>2022</v>
      </c>
      <c r="F35" s="18">
        <v>0.77089189189189189</v>
      </c>
      <c r="G35" s="18">
        <v>0.14629454207219922</v>
      </c>
      <c r="H35" s="18">
        <v>0.17002702702702702</v>
      </c>
      <c r="I35" s="18">
        <v>3.2266555557837716E-2</v>
      </c>
      <c r="J35" s="39">
        <f t="shared" si="0"/>
        <v>770.89189189189187</v>
      </c>
      <c r="K35" s="127"/>
      <c r="L35" s="32"/>
      <c r="M35" s="40"/>
    </row>
    <row r="36" spans="1:13" x14ac:dyDescent="0.3">
      <c r="A36" s="1" t="s">
        <v>397</v>
      </c>
      <c r="B36" s="1" t="s">
        <v>398</v>
      </c>
      <c r="C36" s="1" t="s">
        <v>399</v>
      </c>
      <c r="D36" s="1">
        <v>2024</v>
      </c>
      <c r="E36" s="1">
        <v>2022</v>
      </c>
      <c r="F36" s="18">
        <v>0.51085620460000003</v>
      </c>
      <c r="G36" s="18">
        <v>8.1033416037753381E-2</v>
      </c>
      <c r="H36" s="18">
        <v>8.3651453855000002E-2</v>
      </c>
      <c r="I36" s="18">
        <v>1.3269023653540145E-2</v>
      </c>
      <c r="J36" s="39">
        <f t="shared" si="0"/>
        <v>510.85620460000001</v>
      </c>
      <c r="K36" s="127"/>
      <c r="L36" s="32"/>
      <c r="M36" s="40"/>
    </row>
    <row r="37" spans="1:13" x14ac:dyDescent="0.3">
      <c r="A37" s="1" t="s">
        <v>400</v>
      </c>
      <c r="B37" s="1" t="s">
        <v>401</v>
      </c>
      <c r="C37" s="1" t="s">
        <v>402</v>
      </c>
      <c r="D37" s="1">
        <v>2024</v>
      </c>
      <c r="E37" s="1">
        <v>2022</v>
      </c>
      <c r="F37" s="18">
        <v>0.59621142403344995</v>
      </c>
      <c r="G37" s="18">
        <v>8.7559942885991032E-2</v>
      </c>
      <c r="H37" s="18">
        <v>0.10946376598296105</v>
      </c>
      <c r="I37" s="18">
        <v>1.6075909838681353E-2</v>
      </c>
      <c r="J37" s="39">
        <f t="shared" si="0"/>
        <v>596.21142403344993</v>
      </c>
      <c r="K37" s="127"/>
      <c r="L37" s="32"/>
      <c r="M37" s="40"/>
    </row>
    <row r="38" spans="1:13" x14ac:dyDescent="0.3">
      <c r="A38" s="1" t="s">
        <v>403</v>
      </c>
      <c r="B38" s="1" t="s">
        <v>404</v>
      </c>
      <c r="C38" s="1" t="s">
        <v>405</v>
      </c>
      <c r="D38" s="1">
        <v>2024</v>
      </c>
      <c r="E38" s="1">
        <v>2022</v>
      </c>
      <c r="F38" s="18">
        <v>0.70715970677708095</v>
      </c>
      <c r="G38" s="18">
        <v>0.13419988789993892</v>
      </c>
      <c r="H38" s="18">
        <v>0.15517132319952973</v>
      </c>
      <c r="I38" s="18">
        <v>2.9447342628680703E-2</v>
      </c>
      <c r="J38" s="39">
        <f t="shared" si="0"/>
        <v>707.15970677708094</v>
      </c>
      <c r="K38" s="127"/>
      <c r="L38" s="32"/>
      <c r="M38" s="40"/>
    </row>
    <row r="39" spans="1:13" x14ac:dyDescent="0.3">
      <c r="A39" s="1" t="s">
        <v>406</v>
      </c>
      <c r="B39" s="1" t="s">
        <v>407</v>
      </c>
      <c r="C39" s="1" t="s">
        <v>408</v>
      </c>
      <c r="D39" s="1">
        <v>2024</v>
      </c>
      <c r="E39" s="1">
        <v>2022</v>
      </c>
      <c r="F39" s="18">
        <v>0.44529650946149518</v>
      </c>
      <c r="G39" s="18">
        <v>6.5396494203358593E-2</v>
      </c>
      <c r="H39" s="18">
        <v>7.6544341414993014E-2</v>
      </c>
      <c r="I39" s="18">
        <v>1.1241344751835153E-2</v>
      </c>
      <c r="J39" s="39">
        <f t="shared" si="0"/>
        <v>445.29650946149519</v>
      </c>
      <c r="K39" s="127"/>
      <c r="L39" s="32"/>
      <c r="M39" s="40"/>
    </row>
    <row r="40" spans="1:13" x14ac:dyDescent="0.3">
      <c r="A40" s="7" t="s">
        <v>43</v>
      </c>
      <c r="B40" s="1" t="s">
        <v>409</v>
      </c>
      <c r="C40" s="1" t="s">
        <v>410</v>
      </c>
      <c r="D40" s="1">
        <v>2024</v>
      </c>
      <c r="E40" s="1">
        <v>2022</v>
      </c>
      <c r="F40" s="18">
        <v>0.12524520443964715</v>
      </c>
      <c r="G40" s="18">
        <v>6.3677277797043559E-3</v>
      </c>
      <c r="H40" s="18">
        <v>2.7533970862215044E-2</v>
      </c>
      <c r="I40" s="18">
        <v>1.399884585835652E-3</v>
      </c>
      <c r="J40" s="39">
        <f t="shared" si="0"/>
        <v>125.24520443964715</v>
      </c>
      <c r="K40" s="127">
        <v>138</v>
      </c>
      <c r="L40" s="32">
        <v>196</v>
      </c>
      <c r="M40" s="40">
        <v>179</v>
      </c>
    </row>
    <row r="41" spans="1:13" x14ac:dyDescent="0.3">
      <c r="A41" s="1" t="s">
        <v>411</v>
      </c>
      <c r="B41" s="1" t="s">
        <v>412</v>
      </c>
      <c r="C41" s="1" t="s">
        <v>413</v>
      </c>
      <c r="D41" s="1">
        <v>2024</v>
      </c>
      <c r="E41" s="1">
        <v>2022</v>
      </c>
      <c r="F41" s="18">
        <v>0.16589798005664863</v>
      </c>
      <c r="G41" s="18">
        <v>3.1482973525026797E-2</v>
      </c>
      <c r="H41" s="18">
        <v>8.8119519773837834E-2</v>
      </c>
      <c r="I41" s="18">
        <v>1.6722714207433344E-2</v>
      </c>
      <c r="J41" s="39">
        <f t="shared" si="0"/>
        <v>165.89798005664863</v>
      </c>
      <c r="K41" s="127"/>
      <c r="L41" s="32"/>
      <c r="M41" s="40"/>
    </row>
    <row r="42" spans="1:13" x14ac:dyDescent="0.3">
      <c r="A42" s="1" t="s">
        <v>414</v>
      </c>
      <c r="B42" s="1" t="s">
        <v>415</v>
      </c>
      <c r="C42" s="1" t="s">
        <v>416</v>
      </c>
      <c r="D42" s="1">
        <v>2024</v>
      </c>
      <c r="E42" s="1">
        <v>2022</v>
      </c>
      <c r="F42" s="18">
        <v>0.55255416717324324</v>
      </c>
      <c r="G42" s="18">
        <v>8.3066366689554694E-2</v>
      </c>
      <c r="H42" s="18">
        <v>9.9005924754189178E-2</v>
      </c>
      <c r="I42" s="18">
        <v>1.4883721703055105E-2</v>
      </c>
      <c r="J42" s="39">
        <f t="shared" si="0"/>
        <v>552.55416717324329</v>
      </c>
      <c r="K42" s="127"/>
      <c r="L42" s="32"/>
      <c r="M42" s="40"/>
    </row>
    <row r="43" spans="1:13" x14ac:dyDescent="0.3">
      <c r="A43" s="1" t="s">
        <v>417</v>
      </c>
      <c r="B43" s="1" t="s">
        <v>418</v>
      </c>
      <c r="C43" s="1" t="s">
        <v>419</v>
      </c>
      <c r="D43" s="1">
        <v>2024</v>
      </c>
      <c r="E43" s="1">
        <v>2022</v>
      </c>
      <c r="F43" s="18">
        <v>0.75916890358080602</v>
      </c>
      <c r="G43" s="18">
        <v>9.171488416588218E-2</v>
      </c>
      <c r="H43" s="18">
        <v>0.16902614722428416</v>
      </c>
      <c r="I43" s="18">
        <v>2.0419979586308902E-2</v>
      </c>
      <c r="J43" s="39">
        <f t="shared" si="0"/>
        <v>759.16890358080605</v>
      </c>
      <c r="K43" s="127"/>
      <c r="L43" s="32"/>
      <c r="M43" s="40"/>
    </row>
    <row r="44" spans="1:13" x14ac:dyDescent="0.3">
      <c r="A44" s="1" t="s">
        <v>420</v>
      </c>
      <c r="B44" s="1" t="s">
        <v>421</v>
      </c>
      <c r="C44" s="1" t="s">
        <v>422</v>
      </c>
      <c r="D44" s="1">
        <v>2024</v>
      </c>
      <c r="E44" s="1">
        <v>2022</v>
      </c>
      <c r="F44" s="18">
        <v>0</v>
      </c>
      <c r="G44" s="18">
        <v>0</v>
      </c>
      <c r="H44" s="18">
        <v>0</v>
      </c>
      <c r="I44" s="18">
        <v>0</v>
      </c>
      <c r="J44" s="39">
        <f t="shared" si="0"/>
        <v>0</v>
      </c>
      <c r="K44" s="127"/>
      <c r="L44" s="32"/>
      <c r="M44" s="40"/>
    </row>
    <row r="45" spans="1:13" x14ac:dyDescent="0.3">
      <c r="A45" s="7" t="s">
        <v>423</v>
      </c>
      <c r="B45" s="1" t="s">
        <v>424</v>
      </c>
      <c r="C45" s="1" t="s">
        <v>425</v>
      </c>
      <c r="D45" s="1">
        <v>2024</v>
      </c>
      <c r="E45" s="1">
        <v>2022</v>
      </c>
      <c r="F45" s="18">
        <v>0.33792102888622089</v>
      </c>
      <c r="G45" s="18">
        <v>6.412832032277864E-2</v>
      </c>
      <c r="H45" s="18">
        <v>5.9577913737959065E-2</v>
      </c>
      <c r="I45" s="18">
        <v>1.130628522570323E-2</v>
      </c>
      <c r="J45" s="39">
        <f t="shared" si="0"/>
        <v>337.92102888622088</v>
      </c>
      <c r="K45" s="127">
        <v>532</v>
      </c>
      <c r="L45" s="32">
        <v>322</v>
      </c>
      <c r="M45" s="40" t="s">
        <v>368</v>
      </c>
    </row>
    <row r="46" spans="1:13" x14ac:dyDescent="0.3">
      <c r="A46" s="1" t="s">
        <v>426</v>
      </c>
      <c r="B46" s="1" t="s">
        <v>427</v>
      </c>
      <c r="C46" s="1" t="s">
        <v>428</v>
      </c>
      <c r="D46" s="1">
        <v>2024</v>
      </c>
      <c r="E46" s="1">
        <v>2022</v>
      </c>
      <c r="F46" s="18">
        <v>0.65258740219324385</v>
      </c>
      <c r="G46" s="18">
        <v>9.5839350540441612E-2</v>
      </c>
      <c r="H46" s="18">
        <v>0.11618163829585709</v>
      </c>
      <c r="I46" s="18">
        <v>1.7062500320381944E-2</v>
      </c>
      <c r="J46" s="39">
        <f t="shared" si="0"/>
        <v>652.58740219324386</v>
      </c>
      <c r="K46" s="127"/>
      <c r="L46" s="32"/>
      <c r="M46" s="40"/>
    </row>
    <row r="47" spans="1:13" x14ac:dyDescent="0.3">
      <c r="A47" s="1" t="s">
        <v>429</v>
      </c>
      <c r="B47" s="1" t="s">
        <v>430</v>
      </c>
      <c r="C47" s="1" t="s">
        <v>431</v>
      </c>
      <c r="D47" s="1">
        <v>2024</v>
      </c>
      <c r="E47" s="1">
        <v>2022</v>
      </c>
      <c r="F47" s="18">
        <v>0.96967559621272015</v>
      </c>
      <c r="G47" s="18">
        <v>0.14577290957189401</v>
      </c>
      <c r="H47" s="18">
        <v>0.1734409726458935</v>
      </c>
      <c r="I47" s="18">
        <v>2.6073663522439294E-2</v>
      </c>
      <c r="J47" s="39">
        <f t="shared" si="0"/>
        <v>969.67559621272017</v>
      </c>
      <c r="K47" s="127"/>
      <c r="L47" s="32"/>
      <c r="M47" s="40"/>
    </row>
    <row r="48" spans="1:13" x14ac:dyDescent="0.3">
      <c r="A48" s="7" t="s">
        <v>38</v>
      </c>
      <c r="B48" s="1" t="s">
        <v>267</v>
      </c>
      <c r="C48" s="1" t="s">
        <v>432</v>
      </c>
      <c r="D48" s="1">
        <v>2024</v>
      </c>
      <c r="E48" s="1">
        <v>2022</v>
      </c>
      <c r="F48" s="18">
        <v>7.4096241553692752E-2</v>
      </c>
      <c r="G48" s="18">
        <v>1.4778612473257811E-2</v>
      </c>
      <c r="H48" s="18">
        <v>2.1315539095857164E-2</v>
      </c>
      <c r="I48" s="18">
        <v>4.2514179579267713E-3</v>
      </c>
      <c r="J48" s="39">
        <f t="shared" si="0"/>
        <v>74.096241553692749</v>
      </c>
      <c r="K48" s="127">
        <v>98</v>
      </c>
      <c r="L48" s="32">
        <v>70.25</v>
      </c>
      <c r="M48" s="40">
        <v>279</v>
      </c>
    </row>
    <row r="49" spans="1:13" x14ac:dyDescent="0.3">
      <c r="A49" s="1" t="s">
        <v>433</v>
      </c>
      <c r="B49" s="1" t="s">
        <v>434</v>
      </c>
      <c r="C49" s="1" t="s">
        <v>435</v>
      </c>
      <c r="D49" s="1">
        <v>2024</v>
      </c>
      <c r="E49" s="1">
        <v>2022</v>
      </c>
      <c r="F49" s="18">
        <v>0.77089189189189189</v>
      </c>
      <c r="G49" s="18">
        <v>0.14629454207219922</v>
      </c>
      <c r="H49" s="18">
        <v>0.17002702702702702</v>
      </c>
      <c r="I49" s="18">
        <v>3.2266555557837716E-2</v>
      </c>
      <c r="J49" s="39">
        <f t="shared" si="0"/>
        <v>770.89189189189187</v>
      </c>
      <c r="K49" s="127"/>
      <c r="L49" s="32"/>
      <c r="M49" s="40"/>
    </row>
    <row r="50" spans="1:13" x14ac:dyDescent="0.3">
      <c r="A50" s="1" t="s">
        <v>436</v>
      </c>
      <c r="B50" s="1" t="s">
        <v>437</v>
      </c>
      <c r="C50" s="1" t="s">
        <v>438</v>
      </c>
      <c r="D50" s="1">
        <v>2024</v>
      </c>
      <c r="E50" s="1">
        <v>2022</v>
      </c>
      <c r="F50" s="18">
        <v>0.61261702215733227</v>
      </c>
      <c r="G50" s="18">
        <v>8.9969278193623548E-2</v>
      </c>
      <c r="H50" s="18">
        <v>0.103496477931314</v>
      </c>
      <c r="I50" s="18">
        <v>1.5199550581001045E-2</v>
      </c>
      <c r="J50" s="39">
        <f t="shared" si="0"/>
        <v>612.61702215733226</v>
      </c>
      <c r="K50" s="127"/>
      <c r="L50" s="32"/>
      <c r="M50" s="40"/>
    </row>
    <row r="51" spans="1:13" x14ac:dyDescent="0.3">
      <c r="A51" s="7" t="s">
        <v>439</v>
      </c>
      <c r="B51" s="1" t="s">
        <v>440</v>
      </c>
      <c r="C51" s="1" t="s">
        <v>441</v>
      </c>
      <c r="D51" s="1">
        <v>2024</v>
      </c>
      <c r="E51" s="1">
        <v>2022</v>
      </c>
      <c r="F51" s="18">
        <v>0.45350004949874922</v>
      </c>
      <c r="G51" s="18">
        <v>6.8909201117234573E-2</v>
      </c>
      <c r="H51" s="18">
        <v>8.4983814162191459E-2</v>
      </c>
      <c r="I51" s="18">
        <v>1.2913265937423651E-2</v>
      </c>
      <c r="J51" s="39">
        <f t="shared" si="0"/>
        <v>453.50004949874921</v>
      </c>
      <c r="K51" s="127">
        <v>335</v>
      </c>
      <c r="L51" s="32">
        <v>509</v>
      </c>
      <c r="M51" s="40">
        <v>597</v>
      </c>
    </row>
    <row r="52" spans="1:13" x14ac:dyDescent="0.3">
      <c r="A52" s="1" t="s">
        <v>442</v>
      </c>
      <c r="B52" s="1" t="s">
        <v>443</v>
      </c>
      <c r="C52" s="1" t="s">
        <v>444</v>
      </c>
      <c r="D52" s="1">
        <v>2024</v>
      </c>
      <c r="E52" s="1">
        <v>2022</v>
      </c>
      <c r="F52" s="18">
        <v>0.53061390862432434</v>
      </c>
      <c r="G52" s="18">
        <v>7.9768051935705908E-2</v>
      </c>
      <c r="H52" s="18">
        <v>0.11703159201891891</v>
      </c>
      <c r="I52" s="18">
        <v>1.7593549582004903E-2</v>
      </c>
      <c r="J52" s="39">
        <f t="shared" si="0"/>
        <v>530.61390862432438</v>
      </c>
      <c r="K52" s="127"/>
      <c r="L52" s="32"/>
      <c r="M52" s="40"/>
    </row>
    <row r="53" spans="1:13" x14ac:dyDescent="0.3">
      <c r="A53" s="1" t="s">
        <v>445</v>
      </c>
      <c r="B53" s="1" t="s">
        <v>446</v>
      </c>
      <c r="C53" s="1" t="s">
        <v>447</v>
      </c>
      <c r="D53" s="1">
        <v>2024</v>
      </c>
      <c r="E53" s="1">
        <v>2022</v>
      </c>
      <c r="F53" s="18">
        <v>0.25786236635866255</v>
      </c>
      <c r="G53" s="18">
        <v>3.8764868952059148E-2</v>
      </c>
      <c r="H53" s="18">
        <v>5.9647101896877219E-2</v>
      </c>
      <c r="I53" s="18">
        <v>8.9668458451455154E-3</v>
      </c>
      <c r="J53" s="39">
        <f t="shared" si="0"/>
        <v>257.86236635866254</v>
      </c>
      <c r="K53" s="127"/>
      <c r="L53" s="32"/>
      <c r="M53" s="40"/>
    </row>
    <row r="54" spans="1:13" x14ac:dyDescent="0.3">
      <c r="A54" s="1" t="s">
        <v>448</v>
      </c>
      <c r="B54" s="1" t="s">
        <v>449</v>
      </c>
      <c r="C54" s="1" t="s">
        <v>450</v>
      </c>
      <c r="D54" s="1">
        <v>2024</v>
      </c>
      <c r="E54" s="1">
        <v>2022</v>
      </c>
      <c r="F54" s="18">
        <v>0.47181092916344164</v>
      </c>
      <c r="G54" s="18">
        <v>6.9290416696576998E-2</v>
      </c>
      <c r="H54" s="18">
        <v>8.6577485971026102E-2</v>
      </c>
      <c r="I54" s="18">
        <v>1.2714817967678567E-2</v>
      </c>
      <c r="J54" s="39">
        <f t="shared" si="0"/>
        <v>471.81092916344164</v>
      </c>
      <c r="K54" s="127"/>
      <c r="L54" s="32"/>
      <c r="M54" s="40"/>
    </row>
    <row r="55" spans="1:13" x14ac:dyDescent="0.3">
      <c r="A55" s="1" t="s">
        <v>451</v>
      </c>
      <c r="B55" s="1" t="s">
        <v>452</v>
      </c>
      <c r="C55" s="1" t="s">
        <v>453</v>
      </c>
      <c r="D55" s="1">
        <v>2024</v>
      </c>
      <c r="E55" s="1">
        <v>2022</v>
      </c>
      <c r="F55" s="18">
        <v>0.21449264484214331</v>
      </c>
      <c r="G55" s="18">
        <v>3.2245028174918582E-2</v>
      </c>
      <c r="H55" s="18">
        <v>3.9291101852122742E-2</v>
      </c>
      <c r="I55" s="18">
        <v>5.9066952490501702E-3</v>
      </c>
      <c r="J55" s="39">
        <f t="shared" si="0"/>
        <v>214.49264484214331</v>
      </c>
      <c r="K55" s="127"/>
      <c r="L55" s="32"/>
      <c r="M55" s="40"/>
    </row>
    <row r="56" spans="1:13" x14ac:dyDescent="0.3">
      <c r="A56" s="7" t="s">
        <v>22</v>
      </c>
      <c r="B56" s="1" t="s">
        <v>260</v>
      </c>
      <c r="C56" s="1" t="s">
        <v>454</v>
      </c>
      <c r="D56" s="1">
        <v>2024</v>
      </c>
      <c r="E56" s="1">
        <v>2022</v>
      </c>
      <c r="F56" s="18">
        <v>0.1159998999345556</v>
      </c>
      <c r="G56" s="18">
        <v>1.0352587997085431E-2</v>
      </c>
      <c r="H56" s="18">
        <v>2.1135832580171196E-2</v>
      </c>
      <c r="I56" s="18">
        <v>1.8862996157870417E-3</v>
      </c>
      <c r="J56" s="39">
        <f t="shared" si="0"/>
        <v>115.9998999345556</v>
      </c>
      <c r="K56" s="127">
        <v>170</v>
      </c>
      <c r="L56" s="32"/>
      <c r="M56" s="40">
        <v>184</v>
      </c>
    </row>
    <row r="57" spans="1:13" x14ac:dyDescent="0.3">
      <c r="A57" s="1" t="s">
        <v>455</v>
      </c>
      <c r="B57" s="1" t="s">
        <v>456</v>
      </c>
      <c r="C57" s="1" t="s">
        <v>457</v>
      </c>
      <c r="D57" s="1">
        <v>2024</v>
      </c>
      <c r="E57" s="1">
        <v>2022</v>
      </c>
      <c r="F57" s="18">
        <v>0.64539786118648645</v>
      </c>
      <c r="G57" s="18">
        <v>9.702371022235419E-2</v>
      </c>
      <c r="H57" s="18">
        <v>0.14234820827837835</v>
      </c>
      <c r="I57" s="18">
        <v>2.1399437682180351E-2</v>
      </c>
      <c r="J57" s="39">
        <f t="shared" si="0"/>
        <v>645.39786118648647</v>
      </c>
      <c r="K57" s="127"/>
      <c r="L57" s="32"/>
      <c r="M57" s="40"/>
    </row>
    <row r="58" spans="1:13" x14ac:dyDescent="0.3">
      <c r="A58" s="1" t="s">
        <v>458</v>
      </c>
      <c r="B58" s="1" t="s">
        <v>459</v>
      </c>
      <c r="C58" s="1" t="s">
        <v>460</v>
      </c>
      <c r="D58" s="1">
        <v>2024</v>
      </c>
      <c r="E58" s="1">
        <v>2022</v>
      </c>
      <c r="F58" s="18">
        <v>0.74886643129189179</v>
      </c>
      <c r="G58" s="18">
        <v>0.14211470219283756</v>
      </c>
      <c r="H58" s="18">
        <v>0.16516911682702701</v>
      </c>
      <c r="I58" s="18">
        <v>3.1344654892372509E-2</v>
      </c>
      <c r="J58" s="39">
        <f t="shared" si="0"/>
        <v>748.86643129189179</v>
      </c>
      <c r="K58" s="127"/>
      <c r="L58" s="32"/>
      <c r="M58" s="40"/>
    </row>
    <row r="59" spans="1:13" x14ac:dyDescent="0.3">
      <c r="A59" s="1" t="s">
        <v>461</v>
      </c>
      <c r="B59" s="1" t="s">
        <v>462</v>
      </c>
      <c r="C59" s="1" t="s">
        <v>463</v>
      </c>
      <c r="D59" s="1">
        <v>2024</v>
      </c>
      <c r="E59" s="1">
        <v>2022</v>
      </c>
      <c r="F59" s="18">
        <v>0</v>
      </c>
      <c r="G59" s="18">
        <v>0</v>
      </c>
      <c r="H59" s="18">
        <v>0</v>
      </c>
      <c r="I59" s="18">
        <v>0</v>
      </c>
      <c r="J59" s="39">
        <f t="shared" si="0"/>
        <v>0</v>
      </c>
      <c r="K59" s="127"/>
      <c r="L59" s="32"/>
      <c r="M59" s="40"/>
    </row>
    <row r="60" spans="1:13" x14ac:dyDescent="0.3">
      <c r="A60" s="1" t="s">
        <v>464</v>
      </c>
      <c r="B60" s="1" t="s">
        <v>465</v>
      </c>
      <c r="C60" s="1" t="s">
        <v>466</v>
      </c>
      <c r="D60" s="1">
        <v>2024</v>
      </c>
      <c r="E60" s="1">
        <v>2022</v>
      </c>
      <c r="F60" s="18">
        <v>0.7277649752815597</v>
      </c>
      <c r="G60" s="18">
        <v>0.1094060924557264</v>
      </c>
      <c r="H60" s="18">
        <v>0.16336751630775287</v>
      </c>
      <c r="I60" s="18">
        <v>2.4559304446484923E-2</v>
      </c>
      <c r="J60" s="39">
        <f t="shared" si="0"/>
        <v>727.76497528155971</v>
      </c>
      <c r="K60" s="127"/>
      <c r="L60" s="32"/>
      <c r="M60" s="40"/>
    </row>
    <row r="61" spans="1:13" x14ac:dyDescent="0.3">
      <c r="A61" s="7" t="s">
        <v>65</v>
      </c>
      <c r="B61" s="1" t="s">
        <v>467</v>
      </c>
      <c r="C61" s="1" t="s">
        <v>468</v>
      </c>
      <c r="D61" s="1">
        <v>2024</v>
      </c>
      <c r="E61" s="1">
        <v>2022</v>
      </c>
      <c r="F61" s="18">
        <v>0.36150319480077897</v>
      </c>
      <c r="G61" s="18">
        <v>6.860358099139742E-2</v>
      </c>
      <c r="H61" s="18">
        <v>6.4475105368967014E-2</v>
      </c>
      <c r="I61" s="18">
        <v>1.2235640450000472E-2</v>
      </c>
      <c r="J61" s="39">
        <f t="shared" si="0"/>
        <v>361.50319480077894</v>
      </c>
      <c r="K61" s="127">
        <v>291</v>
      </c>
      <c r="L61" s="32">
        <v>208</v>
      </c>
      <c r="M61" s="40" t="s">
        <v>368</v>
      </c>
    </row>
    <row r="62" spans="1:13" x14ac:dyDescent="0.3">
      <c r="A62" s="7" t="s">
        <v>25</v>
      </c>
      <c r="B62" s="1" t="s">
        <v>265</v>
      </c>
      <c r="C62" s="1" t="s">
        <v>469</v>
      </c>
      <c r="D62" s="1">
        <v>2024</v>
      </c>
      <c r="E62" s="1">
        <v>2022</v>
      </c>
      <c r="F62" s="18">
        <v>0.6608037575989143</v>
      </c>
      <c r="G62" s="18">
        <v>4.6360330073289498E-2</v>
      </c>
      <c r="H62" s="18">
        <v>0.11941363350298909</v>
      </c>
      <c r="I62" s="18">
        <v>8.3777602666260786E-3</v>
      </c>
      <c r="J62" s="39">
        <f t="shared" si="0"/>
        <v>660.80375759891433</v>
      </c>
      <c r="K62" s="127">
        <v>582</v>
      </c>
      <c r="L62" s="32" t="s">
        <v>368</v>
      </c>
      <c r="M62" s="40">
        <v>798</v>
      </c>
    </row>
    <row r="63" spans="1:13" x14ac:dyDescent="0.3">
      <c r="A63" s="1" t="s">
        <v>470</v>
      </c>
      <c r="B63" s="1" t="s">
        <v>471</v>
      </c>
      <c r="C63" s="1" t="s">
        <v>472</v>
      </c>
      <c r="D63" s="1">
        <v>2024</v>
      </c>
      <c r="E63" s="1">
        <v>2022</v>
      </c>
      <c r="F63" s="18">
        <v>0.17689276616441166</v>
      </c>
      <c r="G63" s="18">
        <v>3.3569488139766755E-2</v>
      </c>
      <c r="H63" s="18">
        <v>3.3680669606548766E-2</v>
      </c>
      <c r="I63" s="18">
        <v>6.3916849931871939E-3</v>
      </c>
      <c r="J63" s="39">
        <f t="shared" si="0"/>
        <v>176.89276616441165</v>
      </c>
      <c r="K63" s="127"/>
      <c r="L63" s="32"/>
      <c r="M63" s="40"/>
    </row>
    <row r="64" spans="1:13" x14ac:dyDescent="0.3">
      <c r="A64" s="1" t="s">
        <v>473</v>
      </c>
      <c r="B64" s="1" t="s">
        <v>474</v>
      </c>
      <c r="C64" s="1" t="s">
        <v>475</v>
      </c>
      <c r="D64" s="1">
        <v>2024</v>
      </c>
      <c r="E64" s="1">
        <v>2022</v>
      </c>
      <c r="F64" s="18">
        <v>0.77089189189189189</v>
      </c>
      <c r="G64" s="18">
        <v>0.1158894319763937</v>
      </c>
      <c r="H64" s="18">
        <v>0.17002702702702702</v>
      </c>
      <c r="I64" s="18">
        <v>2.5560439524716642E-2</v>
      </c>
      <c r="J64" s="39">
        <f t="shared" si="0"/>
        <v>770.89189189189187</v>
      </c>
      <c r="K64" s="127"/>
      <c r="L64" s="32"/>
      <c r="M64" s="40"/>
    </row>
    <row r="65" spans="1:13" x14ac:dyDescent="0.3">
      <c r="A65" s="1" t="s">
        <v>476</v>
      </c>
      <c r="B65" s="1" t="s">
        <v>477</v>
      </c>
      <c r="C65" s="1" t="s">
        <v>478</v>
      </c>
      <c r="D65" s="1">
        <v>2024</v>
      </c>
      <c r="E65" s="1">
        <v>2022</v>
      </c>
      <c r="F65" s="18">
        <v>0.40901959459459464</v>
      </c>
      <c r="G65" s="18">
        <v>6.1488580932473759E-2</v>
      </c>
      <c r="H65" s="18">
        <v>6.9165726351351348E-2</v>
      </c>
      <c r="I65" s="18">
        <v>1.0397796141585154E-2</v>
      </c>
      <c r="J65" s="39">
        <f t="shared" si="0"/>
        <v>409.01959459459465</v>
      </c>
      <c r="K65" s="127"/>
      <c r="L65" s="32"/>
      <c r="M65" s="40"/>
    </row>
    <row r="66" spans="1:13" x14ac:dyDescent="0.3">
      <c r="A66" s="1" t="s">
        <v>479</v>
      </c>
      <c r="B66" s="1" t="s">
        <v>480</v>
      </c>
      <c r="C66" s="1" t="s">
        <v>481</v>
      </c>
      <c r="D66" s="1">
        <v>2024</v>
      </c>
      <c r="E66" s="1">
        <v>2022</v>
      </c>
      <c r="F66" s="18">
        <v>0.38544594594594594</v>
      </c>
      <c r="G66" s="18">
        <v>2.6450671734642016E-2</v>
      </c>
      <c r="H66" s="18">
        <v>8.5013513513513508E-2</v>
      </c>
      <c r="I66" s="18">
        <v>5.8339296666771699E-3</v>
      </c>
      <c r="J66" s="39">
        <f t="shared" si="0"/>
        <v>385.44594594594594</v>
      </c>
      <c r="K66" s="127"/>
      <c r="L66" s="32"/>
      <c r="M66" s="40"/>
    </row>
    <row r="67" spans="1:13" x14ac:dyDescent="0.3">
      <c r="A67" s="1" t="s">
        <v>482</v>
      </c>
      <c r="B67" s="1" t="s">
        <v>483</v>
      </c>
      <c r="C67" s="1" t="s">
        <v>484</v>
      </c>
      <c r="D67" s="1">
        <v>2024</v>
      </c>
      <c r="E67" s="1">
        <v>2022</v>
      </c>
      <c r="F67" s="18">
        <v>4.9279410982857154E-4</v>
      </c>
      <c r="G67" s="18">
        <v>9.3519064594543808E-5</v>
      </c>
      <c r="H67" s="18">
        <v>1.6298773385142859E-3</v>
      </c>
      <c r="I67" s="18">
        <v>3.0930687088513427E-4</v>
      </c>
      <c r="J67" s="39">
        <f t="shared" si="0"/>
        <v>0.49279410982857152</v>
      </c>
      <c r="K67" s="127"/>
      <c r="L67" s="32"/>
      <c r="M67" s="40"/>
    </row>
    <row r="68" spans="1:13" x14ac:dyDescent="0.3">
      <c r="A68" s="1" t="s">
        <v>485</v>
      </c>
      <c r="B68" s="1" t="s">
        <v>486</v>
      </c>
      <c r="C68" s="1" t="s">
        <v>487</v>
      </c>
      <c r="D68" s="1">
        <v>2024</v>
      </c>
      <c r="E68" s="1">
        <v>2022</v>
      </c>
      <c r="F68" s="18">
        <v>0.35316147538443715</v>
      </c>
      <c r="G68" s="18">
        <v>5.3091339017465204E-2</v>
      </c>
      <c r="H68" s="18">
        <v>5.8639573826405028E-2</v>
      </c>
      <c r="I68" s="18">
        <v>8.815382511550526E-3</v>
      </c>
      <c r="J68" s="39">
        <f t="shared" si="0"/>
        <v>353.16147538443715</v>
      </c>
      <c r="K68" s="127"/>
      <c r="L68" s="32"/>
      <c r="M68" s="40"/>
    </row>
    <row r="69" spans="1:13" x14ac:dyDescent="0.3">
      <c r="A69" s="7" t="s">
        <v>71</v>
      </c>
      <c r="B69" s="1" t="s">
        <v>488</v>
      </c>
      <c r="C69" s="1" t="s">
        <v>489</v>
      </c>
      <c r="D69" s="1">
        <v>2024</v>
      </c>
      <c r="E69" s="1">
        <v>2022</v>
      </c>
      <c r="F69" s="18">
        <v>0.24036735091935238</v>
      </c>
      <c r="G69" s="18">
        <v>2.9552126087408395E-2</v>
      </c>
      <c r="H69" s="18">
        <v>4.9159554681645519E-2</v>
      </c>
      <c r="I69" s="18">
        <v>6.0439546086284678E-3</v>
      </c>
      <c r="J69" s="39">
        <f t="shared" si="0"/>
        <v>240.36735091935239</v>
      </c>
      <c r="K69" s="127">
        <v>205</v>
      </c>
      <c r="L69" s="32">
        <v>222</v>
      </c>
      <c r="M69" s="40" t="s">
        <v>368</v>
      </c>
    </row>
    <row r="70" spans="1:13" x14ac:dyDescent="0.3">
      <c r="A70" s="1" t="s">
        <v>490</v>
      </c>
      <c r="B70" s="1" t="s">
        <v>491</v>
      </c>
      <c r="C70" s="1" t="s">
        <v>492</v>
      </c>
      <c r="D70" s="1">
        <v>2024</v>
      </c>
      <c r="E70" s="1">
        <v>2022</v>
      </c>
      <c r="F70" s="18">
        <v>0.71280785444248795</v>
      </c>
      <c r="G70" s="18">
        <v>0.13527175437688296</v>
      </c>
      <c r="H70" s="18">
        <v>0.15706199241429941</v>
      </c>
      <c r="I70" s="18">
        <v>2.9806140781695297E-2</v>
      </c>
      <c r="J70" s="39">
        <f t="shared" si="0"/>
        <v>712.80785444248795</v>
      </c>
      <c r="K70" s="127"/>
      <c r="L70" s="32"/>
      <c r="M70" s="40"/>
    </row>
    <row r="71" spans="1:13" x14ac:dyDescent="0.3">
      <c r="A71" s="7" t="s">
        <v>69</v>
      </c>
      <c r="B71" s="1" t="s">
        <v>493</v>
      </c>
      <c r="C71" s="1" t="s">
        <v>494</v>
      </c>
      <c r="D71" s="1">
        <v>2024</v>
      </c>
      <c r="E71" s="1">
        <v>2022</v>
      </c>
      <c r="F71" s="18">
        <v>0.64229029994756448</v>
      </c>
      <c r="G71" s="18">
        <v>1.9958845846636989E-2</v>
      </c>
      <c r="H71" s="18">
        <v>0.142801643792766</v>
      </c>
      <c r="I71" s="18">
        <v>4.4374887731277648E-3</v>
      </c>
      <c r="J71" s="39">
        <f t="shared" si="0"/>
        <v>642.29029994756445</v>
      </c>
      <c r="K71" s="127">
        <v>534</v>
      </c>
      <c r="L71" s="32">
        <v>734</v>
      </c>
      <c r="M71" s="40" t="s">
        <v>368</v>
      </c>
    </row>
    <row r="72" spans="1:13" x14ac:dyDescent="0.3">
      <c r="A72" s="7" t="s">
        <v>45</v>
      </c>
      <c r="B72" s="1" t="s">
        <v>495</v>
      </c>
      <c r="C72" s="1" t="s">
        <v>496</v>
      </c>
      <c r="D72" s="1">
        <v>2024</v>
      </c>
      <c r="E72" s="1">
        <v>2022</v>
      </c>
      <c r="F72" s="18">
        <v>0.5027736346001257</v>
      </c>
      <c r="G72" s="18">
        <v>3.7160384697101853E-2</v>
      </c>
      <c r="H72" s="18">
        <v>9.5830900255799364E-2</v>
      </c>
      <c r="I72" s="18">
        <v>7.0829352899687845E-3</v>
      </c>
      <c r="J72" s="39">
        <f t="shared" si="0"/>
        <v>502.77363460012572</v>
      </c>
      <c r="K72" s="127">
        <v>450</v>
      </c>
      <c r="L72" s="32">
        <v>592</v>
      </c>
      <c r="M72" s="40">
        <v>553</v>
      </c>
    </row>
    <row r="73" spans="1:13" x14ac:dyDescent="0.3">
      <c r="A73" s="7" t="s">
        <v>497</v>
      </c>
      <c r="B73" s="1" t="s">
        <v>498</v>
      </c>
      <c r="C73" s="1" t="s">
        <v>499</v>
      </c>
      <c r="D73" s="1">
        <v>2024</v>
      </c>
      <c r="E73" s="1">
        <v>2022</v>
      </c>
      <c r="F73" s="18">
        <v>8.788819861714287E-5</v>
      </c>
      <c r="G73" s="18">
        <v>1.3212375849709316E-5</v>
      </c>
      <c r="H73" s="18">
        <v>2.9068322934857146E-4</v>
      </c>
      <c r="I73" s="18">
        <v>4.3698882669003251E-5</v>
      </c>
      <c r="J73" s="39">
        <f t="shared" si="0"/>
        <v>8.7888198617142865E-2</v>
      </c>
      <c r="K73" s="127">
        <v>24</v>
      </c>
      <c r="L73" s="32">
        <v>400</v>
      </c>
      <c r="M73" s="40" t="s">
        <v>368</v>
      </c>
    </row>
    <row r="74" spans="1:13" x14ac:dyDescent="0.3">
      <c r="A74" s="7" t="s">
        <v>74</v>
      </c>
      <c r="B74" s="1" t="s">
        <v>500</v>
      </c>
      <c r="C74" s="1" t="s">
        <v>501</v>
      </c>
      <c r="D74" s="1">
        <v>2024</v>
      </c>
      <c r="E74" s="1">
        <v>2022</v>
      </c>
      <c r="F74" s="18">
        <v>0.13959834514577657</v>
      </c>
      <c r="G74" s="18">
        <v>9.6705105325527695E-3</v>
      </c>
      <c r="H74" s="18">
        <v>4.6602282000207967E-2</v>
      </c>
      <c r="I74" s="18">
        <v>3.2283180610299671E-3</v>
      </c>
      <c r="J74" s="39">
        <f t="shared" si="0"/>
        <v>139.59834514577656</v>
      </c>
      <c r="K74" s="127">
        <v>152</v>
      </c>
      <c r="L74" s="32">
        <f>(152+112)/2</f>
        <v>132</v>
      </c>
      <c r="M74" s="40">
        <v>205</v>
      </c>
    </row>
    <row r="75" spans="1:13" x14ac:dyDescent="0.3">
      <c r="A75" s="1" t="s">
        <v>502</v>
      </c>
      <c r="B75" s="1" t="s">
        <v>503</v>
      </c>
      <c r="C75" s="1" t="s">
        <v>504</v>
      </c>
      <c r="D75" s="1">
        <v>2024</v>
      </c>
      <c r="E75" s="1">
        <v>2022</v>
      </c>
      <c r="F75" s="18">
        <v>0.77089189189189189</v>
      </c>
      <c r="G75" s="18">
        <v>0.1158894319763937</v>
      </c>
      <c r="H75" s="18">
        <v>0.17002702702702702</v>
      </c>
      <c r="I75" s="18">
        <v>2.5560439524716642E-2</v>
      </c>
      <c r="J75" s="39">
        <f t="shared" si="0"/>
        <v>770.89189189189187</v>
      </c>
      <c r="K75" s="127"/>
      <c r="L75" s="32"/>
      <c r="M75" s="40"/>
    </row>
    <row r="76" spans="1:13" x14ac:dyDescent="0.3">
      <c r="A76" s="1" t="s">
        <v>505</v>
      </c>
      <c r="B76" s="1" t="s">
        <v>506</v>
      </c>
      <c r="C76" s="1" t="s">
        <v>507</v>
      </c>
      <c r="D76" s="1">
        <v>2024</v>
      </c>
      <c r="E76" s="1">
        <v>2022</v>
      </c>
      <c r="F76" s="18">
        <v>0.58950557799189196</v>
      </c>
      <c r="G76" s="18">
        <v>0.11187229946040898</v>
      </c>
      <c r="H76" s="18">
        <v>0.13002067072702703</v>
      </c>
      <c r="I76" s="18">
        <v>2.4674425407756294E-2</v>
      </c>
      <c r="J76" s="39">
        <f t="shared" si="0"/>
        <v>589.50557799189198</v>
      </c>
      <c r="K76" s="127"/>
      <c r="L76" s="32"/>
      <c r="M76" s="40"/>
    </row>
    <row r="77" spans="1:13" x14ac:dyDescent="0.3">
      <c r="A77" s="1" t="s">
        <v>508</v>
      </c>
      <c r="B77" s="1" t="s">
        <v>509</v>
      </c>
      <c r="C77" s="1" t="s">
        <v>510</v>
      </c>
      <c r="D77" s="1">
        <v>2024</v>
      </c>
      <c r="E77" s="1">
        <v>2022</v>
      </c>
      <c r="F77" s="18">
        <v>0.62306954216541333</v>
      </c>
      <c r="G77" s="18">
        <v>0.11824183690208907</v>
      </c>
      <c r="H77" s="18">
        <v>0.11552283587703807</v>
      </c>
      <c r="I77" s="18">
        <v>2.1923126382918528E-2</v>
      </c>
      <c r="J77" s="39">
        <f t="shared" si="0"/>
        <v>623.06954216541328</v>
      </c>
      <c r="K77" s="127"/>
      <c r="L77" s="32"/>
      <c r="M77" s="40"/>
    </row>
    <row r="78" spans="1:13" x14ac:dyDescent="0.3">
      <c r="A78" s="1" t="s">
        <v>511</v>
      </c>
      <c r="B78" s="1" t="s">
        <v>512</v>
      </c>
      <c r="C78" s="1" t="s">
        <v>513</v>
      </c>
      <c r="D78" s="1">
        <v>2024</v>
      </c>
      <c r="E78" s="1">
        <v>2022</v>
      </c>
      <c r="F78" s="18">
        <v>0.77089189189189189</v>
      </c>
      <c r="G78" s="18">
        <v>8.0646392848737841E-2</v>
      </c>
      <c r="H78" s="18">
        <v>0.17002702702702702</v>
      </c>
      <c r="I78" s="18">
        <v>1.7787275441272295E-2</v>
      </c>
      <c r="J78" s="39">
        <f t="shared" si="0"/>
        <v>770.89189189189187</v>
      </c>
      <c r="K78" s="127"/>
      <c r="L78" s="32"/>
      <c r="M78" s="40"/>
    </row>
    <row r="79" spans="1:13" x14ac:dyDescent="0.3">
      <c r="A79" s="1" t="s">
        <v>514</v>
      </c>
      <c r="B79" s="1" t="s">
        <v>515</v>
      </c>
      <c r="C79" s="1" t="s">
        <v>516</v>
      </c>
      <c r="D79" s="1">
        <v>2024</v>
      </c>
      <c r="E79" s="1">
        <v>2022</v>
      </c>
      <c r="F79" s="18">
        <v>0.1380514663755722</v>
      </c>
      <c r="G79" s="18">
        <v>2.6198454372435152E-2</v>
      </c>
      <c r="H79" s="18">
        <v>3.0731928516521238E-2</v>
      </c>
      <c r="I79" s="18">
        <v>5.8320932631504858E-3</v>
      </c>
      <c r="J79" s="39">
        <f t="shared" si="0"/>
        <v>138.0514663755722</v>
      </c>
      <c r="K79" s="127"/>
      <c r="L79" s="32"/>
      <c r="M79" s="40"/>
    </row>
    <row r="80" spans="1:13" x14ac:dyDescent="0.3">
      <c r="A80" s="1" t="s">
        <v>517</v>
      </c>
      <c r="B80" s="1" t="s">
        <v>518</v>
      </c>
      <c r="C80" s="1" t="s">
        <v>519</v>
      </c>
      <c r="D80" s="1">
        <v>2024</v>
      </c>
      <c r="E80" s="1">
        <v>2022</v>
      </c>
      <c r="F80" s="18">
        <v>0.47277658162081082</v>
      </c>
      <c r="G80" s="18">
        <v>6.1703167606353151E-2</v>
      </c>
      <c r="H80" s="18">
        <v>8.1251510062297305E-2</v>
      </c>
      <c r="I80" s="18">
        <v>1.06043229266044E-2</v>
      </c>
      <c r="J80" s="39">
        <f t="shared" si="0"/>
        <v>472.77658162081082</v>
      </c>
      <c r="K80" s="127"/>
      <c r="L80" s="32"/>
      <c r="M80" s="40"/>
    </row>
    <row r="81" spans="1:13" x14ac:dyDescent="0.3">
      <c r="A81" s="1" t="s">
        <v>520</v>
      </c>
      <c r="B81" s="1" t="s">
        <v>521</v>
      </c>
      <c r="C81" s="1" t="s">
        <v>522</v>
      </c>
      <c r="D81" s="1">
        <v>2024</v>
      </c>
      <c r="E81" s="1">
        <v>2022</v>
      </c>
      <c r="F81" s="18">
        <v>7.3833130765281862E-2</v>
      </c>
      <c r="G81" s="18">
        <v>1.4011541914853185E-2</v>
      </c>
      <c r="H81" s="18">
        <v>3.0592032254965252E-2</v>
      </c>
      <c r="I81" s="18">
        <v>5.8055447162826254E-3</v>
      </c>
      <c r="J81" s="39">
        <f t="shared" si="0"/>
        <v>73.833130765281865</v>
      </c>
      <c r="K81" s="127"/>
      <c r="L81" s="32"/>
      <c r="M81" s="40"/>
    </row>
    <row r="82" spans="1:13" x14ac:dyDescent="0.3">
      <c r="A82" s="1" t="s">
        <v>523</v>
      </c>
      <c r="B82" s="1" t="s">
        <v>524</v>
      </c>
      <c r="C82" s="1" t="s">
        <v>525</v>
      </c>
      <c r="D82" s="1">
        <v>2024</v>
      </c>
      <c r="E82" s="1">
        <v>2022</v>
      </c>
      <c r="F82" s="18">
        <v>0.34591081550170266</v>
      </c>
      <c r="G82" s="18">
        <v>5.2001335523976698E-2</v>
      </c>
      <c r="H82" s="18">
        <v>5.6939977529324323E-2</v>
      </c>
      <c r="I82" s="18">
        <v>8.559879435789175E-3</v>
      </c>
      <c r="J82" s="39">
        <f t="shared" si="0"/>
        <v>345.91081550170264</v>
      </c>
      <c r="K82" s="127"/>
      <c r="L82" s="32"/>
      <c r="M82" s="40"/>
    </row>
    <row r="83" spans="1:13" x14ac:dyDescent="0.3">
      <c r="A83" s="1" t="s">
        <v>526</v>
      </c>
      <c r="B83" s="1" t="s">
        <v>527</v>
      </c>
      <c r="C83" s="1" t="s">
        <v>528</v>
      </c>
      <c r="D83" s="1">
        <v>2024</v>
      </c>
      <c r="E83" s="1">
        <v>2022</v>
      </c>
      <c r="F83" s="18">
        <v>0.75060525504324316</v>
      </c>
      <c r="G83" s="18">
        <v>0.11283970886238931</v>
      </c>
      <c r="H83" s="18">
        <v>0.16555262978918919</v>
      </c>
      <c r="I83" s="18">
        <v>2.4887796110272104E-2</v>
      </c>
      <c r="J83" s="39">
        <f t="shared" si="0"/>
        <v>750.60525504324312</v>
      </c>
      <c r="K83" s="127"/>
      <c r="L83" s="32"/>
      <c r="M83" s="40"/>
    </row>
    <row r="84" spans="1:13" x14ac:dyDescent="0.3">
      <c r="A84" s="7" t="s">
        <v>37</v>
      </c>
      <c r="B84" s="1" t="s">
        <v>254</v>
      </c>
      <c r="C84" s="1" t="s">
        <v>529</v>
      </c>
      <c r="D84" s="1">
        <v>2024</v>
      </c>
      <c r="E84" s="1">
        <v>2022</v>
      </c>
      <c r="F84" s="18">
        <v>0.53058511403504627</v>
      </c>
      <c r="G84" s="18">
        <v>6.6833087605513139E-2</v>
      </c>
      <c r="H84" s="18">
        <v>0.13444138869490627</v>
      </c>
      <c r="I84" s="18">
        <v>1.6934385965189418E-2</v>
      </c>
      <c r="J84" s="39">
        <f t="shared" si="0"/>
        <v>530.58511403504622</v>
      </c>
      <c r="K84" s="127">
        <v>417</v>
      </c>
      <c r="L84" s="32">
        <v>354</v>
      </c>
      <c r="M84" s="40" t="s">
        <v>368</v>
      </c>
    </row>
    <row r="85" spans="1:13" x14ac:dyDescent="0.3">
      <c r="A85" s="1" t="s">
        <v>530</v>
      </c>
      <c r="B85" s="1" t="s">
        <v>531</v>
      </c>
      <c r="C85" s="1" t="s">
        <v>532</v>
      </c>
      <c r="D85" s="1">
        <v>2024</v>
      </c>
      <c r="E85" s="1">
        <v>2022</v>
      </c>
      <c r="F85" s="18">
        <v>8.1066823807058819E-2</v>
      </c>
      <c r="G85" s="18">
        <v>1.2186907479431552E-2</v>
      </c>
      <c r="H85" s="18">
        <v>5.6282295098823522E-2</v>
      </c>
      <c r="I85" s="18">
        <v>8.4610089662807472E-3</v>
      </c>
      <c r="J85" s="39">
        <f t="shared" si="0"/>
        <v>81.066823807058825</v>
      </c>
      <c r="K85" s="127"/>
      <c r="L85" s="32"/>
      <c r="M85" s="40"/>
    </row>
    <row r="86" spans="1:13" x14ac:dyDescent="0.3">
      <c r="A86" s="1" t="s">
        <v>533</v>
      </c>
      <c r="B86" s="1" t="s">
        <v>534</v>
      </c>
      <c r="C86" s="1" t="s">
        <v>535</v>
      </c>
      <c r="D86" s="1">
        <v>2024</v>
      </c>
      <c r="E86" s="1">
        <v>2022</v>
      </c>
      <c r="F86" s="18">
        <v>5.6285374506517382E-4</v>
      </c>
      <c r="G86" s="18">
        <v>8.4614718986480717E-5</v>
      </c>
      <c r="H86" s="18">
        <v>3.1837958271799228E-4</v>
      </c>
      <c r="I86" s="18">
        <v>4.786252051960057E-5</v>
      </c>
      <c r="J86" s="39">
        <f t="shared" si="0"/>
        <v>0.56285374506517383</v>
      </c>
      <c r="K86" s="127"/>
      <c r="L86" s="32"/>
      <c r="M86" s="40"/>
    </row>
    <row r="87" spans="1:13" x14ac:dyDescent="0.3">
      <c r="A87" s="1" t="s">
        <v>536</v>
      </c>
      <c r="B87" s="1" t="s">
        <v>537</v>
      </c>
      <c r="C87" s="1" t="s">
        <v>538</v>
      </c>
      <c r="D87" s="1">
        <v>2024</v>
      </c>
      <c r="E87" s="1">
        <v>2022</v>
      </c>
      <c r="F87" s="18">
        <v>0.38544594594594594</v>
      </c>
      <c r="G87" s="18">
        <v>7.3147271036099609E-2</v>
      </c>
      <c r="H87" s="18">
        <v>8.5013513513513508E-2</v>
      </c>
      <c r="I87" s="18">
        <v>1.6133277778918858E-2</v>
      </c>
      <c r="J87" s="39">
        <f t="shared" si="0"/>
        <v>385.44594594594594</v>
      </c>
      <c r="K87" s="127"/>
      <c r="L87" s="32"/>
      <c r="M87" s="40"/>
    </row>
    <row r="88" spans="1:13" x14ac:dyDescent="0.3">
      <c r="A88" s="1" t="s">
        <v>539</v>
      </c>
      <c r="B88" s="1" t="s">
        <v>540</v>
      </c>
      <c r="C88" s="1" t="s">
        <v>541</v>
      </c>
      <c r="D88" s="1">
        <v>2024</v>
      </c>
      <c r="E88" s="1">
        <v>2022</v>
      </c>
      <c r="F88" s="18">
        <v>0.47721879095297298</v>
      </c>
      <c r="G88" s="18">
        <v>3.6042974852413034E-2</v>
      </c>
      <c r="H88" s="18">
        <v>0.10525482641675675</v>
      </c>
      <c r="I88" s="18">
        <v>7.9495969847677445E-3</v>
      </c>
      <c r="J88" s="39">
        <f t="shared" ref="J88:J151" si="1">$F88*1000</f>
        <v>477.218790952973</v>
      </c>
      <c r="K88" s="127"/>
      <c r="L88" s="32"/>
      <c r="M88" s="40"/>
    </row>
    <row r="89" spans="1:13" x14ac:dyDescent="0.3">
      <c r="A89" s="1" t="s">
        <v>542</v>
      </c>
      <c r="B89" s="1" t="s">
        <v>543</v>
      </c>
      <c r="C89" s="1" t="s">
        <v>544</v>
      </c>
      <c r="D89" s="1">
        <v>2024</v>
      </c>
      <c r="E89" s="1">
        <v>2022</v>
      </c>
      <c r="F89" s="18">
        <v>0.31256569411830887</v>
      </c>
      <c r="G89" s="18">
        <v>2.1449369639480759E-2</v>
      </c>
      <c r="H89" s="18">
        <v>7.2779049540208487E-2</v>
      </c>
      <c r="I89" s="18">
        <v>4.9943572342495699E-3</v>
      </c>
      <c r="J89" s="39">
        <f t="shared" si="1"/>
        <v>312.56569411830884</v>
      </c>
      <c r="K89" s="127"/>
      <c r="L89" s="32"/>
      <c r="M89" s="40"/>
    </row>
    <row r="90" spans="1:13" x14ac:dyDescent="0.3">
      <c r="A90" s="7" t="s">
        <v>19</v>
      </c>
      <c r="B90" s="1" t="s">
        <v>263</v>
      </c>
      <c r="C90" s="1" t="s">
        <v>545</v>
      </c>
      <c r="D90" s="1">
        <v>2024</v>
      </c>
      <c r="E90" s="1">
        <v>2022</v>
      </c>
      <c r="F90" s="18">
        <v>9.5014820474271053E-2</v>
      </c>
      <c r="G90" s="18">
        <v>3.4311597046104677E-3</v>
      </c>
      <c r="H90" s="18">
        <v>3.6604635991788072E-2</v>
      </c>
      <c r="I90" s="18">
        <v>1.3218606464763815E-3</v>
      </c>
      <c r="J90" s="39">
        <f t="shared" si="1"/>
        <v>95.014820474271048</v>
      </c>
      <c r="K90" s="127">
        <v>79</v>
      </c>
      <c r="L90" s="32">
        <v>91</v>
      </c>
      <c r="M90" s="40">
        <v>181</v>
      </c>
    </row>
    <row r="91" spans="1:13" x14ac:dyDescent="0.3">
      <c r="A91" s="7" t="s">
        <v>18</v>
      </c>
      <c r="B91" s="1" t="s">
        <v>270</v>
      </c>
      <c r="C91" s="1" t="s">
        <v>546</v>
      </c>
      <c r="D91" s="1">
        <v>2024</v>
      </c>
      <c r="E91" s="1">
        <v>2022</v>
      </c>
      <c r="F91" s="18">
        <v>7.0552135914888098E-2</v>
      </c>
      <c r="G91" s="18">
        <v>6.1360145492143471E-3</v>
      </c>
      <c r="H91" s="18">
        <v>1.4944274827878232E-2</v>
      </c>
      <c r="I91" s="18">
        <v>1.2997237657261082E-3</v>
      </c>
      <c r="J91" s="39">
        <f t="shared" si="1"/>
        <v>70.552135914888098</v>
      </c>
      <c r="K91" s="127">
        <v>56</v>
      </c>
      <c r="L91" s="32">
        <v>45</v>
      </c>
      <c r="M91" s="40">
        <v>75</v>
      </c>
    </row>
    <row r="92" spans="1:13" x14ac:dyDescent="0.3">
      <c r="A92" s="1" t="s">
        <v>547</v>
      </c>
      <c r="B92" s="1" t="s">
        <v>548</v>
      </c>
      <c r="C92" s="1" t="s">
        <v>549</v>
      </c>
      <c r="D92" s="1">
        <v>2023</v>
      </c>
      <c r="E92" s="1">
        <v>2021</v>
      </c>
      <c r="F92" s="18">
        <v>0.2381294828155027</v>
      </c>
      <c r="G92" s="18">
        <v>4.5190569532243915E-2</v>
      </c>
      <c r="H92" s="18">
        <v>5.7482129861124311E-2</v>
      </c>
      <c r="I92" s="18">
        <v>1.0908561827949767E-2</v>
      </c>
      <c r="J92" s="39">
        <f t="shared" si="1"/>
        <v>238.12948281550268</v>
      </c>
      <c r="K92" s="127"/>
      <c r="L92" s="32"/>
      <c r="M92" s="40"/>
    </row>
    <row r="93" spans="1:13" x14ac:dyDescent="0.3">
      <c r="A93" s="1" t="s">
        <v>550</v>
      </c>
      <c r="B93" s="1" t="s">
        <v>551</v>
      </c>
      <c r="C93" s="1" t="s">
        <v>552</v>
      </c>
      <c r="D93" s="1">
        <v>2024</v>
      </c>
      <c r="E93" s="1">
        <v>2022</v>
      </c>
      <c r="F93" s="18">
        <v>0.51759886372432429</v>
      </c>
      <c r="G93" s="18">
        <v>3.5519474983700519E-2</v>
      </c>
      <c r="H93" s="18">
        <v>0.1141610087189189</v>
      </c>
      <c r="I93" s="18">
        <v>7.834134457191038E-3</v>
      </c>
      <c r="J93" s="39">
        <f t="shared" si="1"/>
        <v>517.59886372432425</v>
      </c>
      <c r="K93" s="127"/>
      <c r="L93" s="32"/>
      <c r="M93" s="40"/>
    </row>
    <row r="94" spans="1:13" x14ac:dyDescent="0.3">
      <c r="A94" s="1" t="s">
        <v>553</v>
      </c>
      <c r="B94" s="1" t="s">
        <v>554</v>
      </c>
      <c r="C94" s="1" t="s">
        <v>555</v>
      </c>
      <c r="D94" s="1">
        <v>2024</v>
      </c>
      <c r="E94" s="1">
        <v>2022</v>
      </c>
      <c r="F94" s="18">
        <v>0.32263759472163989</v>
      </c>
      <c r="G94" s="18">
        <v>4.850263438983516E-2</v>
      </c>
      <c r="H94" s="18">
        <v>5.767466339911289E-2</v>
      </c>
      <c r="I94" s="18">
        <v>8.6703259575730881E-3</v>
      </c>
      <c r="J94" s="39">
        <f t="shared" si="1"/>
        <v>322.63759472163991</v>
      </c>
      <c r="K94" s="127"/>
      <c r="L94" s="32"/>
      <c r="M94" s="40"/>
    </row>
    <row r="95" spans="1:13" x14ac:dyDescent="0.3">
      <c r="A95" s="1" t="s">
        <v>556</v>
      </c>
      <c r="B95" s="1" t="s">
        <v>557</v>
      </c>
      <c r="C95" s="1" t="s">
        <v>558</v>
      </c>
      <c r="D95" s="1">
        <v>2024</v>
      </c>
      <c r="E95" s="1">
        <v>2022</v>
      </c>
      <c r="F95" s="18">
        <v>0.77089189189189189</v>
      </c>
      <c r="G95" s="18">
        <v>0.1158894319763937</v>
      </c>
      <c r="H95" s="18">
        <v>0.17002702702702702</v>
      </c>
      <c r="I95" s="18">
        <v>2.5560439524716642E-2</v>
      </c>
      <c r="J95" s="39">
        <f t="shared" si="1"/>
        <v>770.89189189189187</v>
      </c>
      <c r="K95" s="127"/>
      <c r="L95" s="32"/>
      <c r="M95" s="40"/>
    </row>
    <row r="96" spans="1:13" x14ac:dyDescent="0.3">
      <c r="A96" s="1" t="s">
        <v>559</v>
      </c>
      <c r="B96" s="1" t="s">
        <v>560</v>
      </c>
      <c r="C96" s="1" t="s">
        <v>561</v>
      </c>
      <c r="D96" s="1">
        <v>2024</v>
      </c>
      <c r="E96" s="1">
        <v>2022</v>
      </c>
      <c r="F96" s="18">
        <v>0.12156421214</v>
      </c>
      <c r="G96" s="18">
        <v>1.7852988122820195E-2</v>
      </c>
      <c r="H96" s="18">
        <v>1.9905842369499997E-2</v>
      </c>
      <c r="I96" s="18">
        <v>2.9233831334187469E-3</v>
      </c>
      <c r="J96" s="39">
        <f t="shared" si="1"/>
        <v>121.56421214000001</v>
      </c>
      <c r="K96" s="127"/>
      <c r="L96" s="32"/>
      <c r="M96" s="40"/>
    </row>
    <row r="97" spans="1:13" x14ac:dyDescent="0.3">
      <c r="A97" s="7" t="s">
        <v>17</v>
      </c>
      <c r="B97" s="1" t="s">
        <v>562</v>
      </c>
      <c r="C97" s="1" t="s">
        <v>563</v>
      </c>
      <c r="D97" s="1">
        <v>2024</v>
      </c>
      <c r="E97" s="1">
        <v>2022</v>
      </c>
      <c r="F97" s="18">
        <v>0.3799491891188938</v>
      </c>
      <c r="G97" s="18">
        <v>1.774846366873049E-2</v>
      </c>
      <c r="H97" s="18">
        <v>7.6499323690516569E-2</v>
      </c>
      <c r="I97" s="18">
        <v>3.5734922091877944E-3</v>
      </c>
      <c r="J97" s="39">
        <f t="shared" si="1"/>
        <v>379.9491891188938</v>
      </c>
      <c r="K97" s="127">
        <v>381</v>
      </c>
      <c r="L97" s="32">
        <v>393</v>
      </c>
      <c r="M97" s="40">
        <v>434</v>
      </c>
    </row>
    <row r="98" spans="1:13" x14ac:dyDescent="0.3">
      <c r="A98" s="7" t="s">
        <v>73</v>
      </c>
      <c r="B98" s="1" t="s">
        <v>564</v>
      </c>
      <c r="C98" s="1" t="s">
        <v>565</v>
      </c>
      <c r="D98" s="1">
        <v>2024</v>
      </c>
      <c r="E98" s="1">
        <v>2022</v>
      </c>
      <c r="F98" s="18">
        <v>0.3444502229636815</v>
      </c>
      <c r="G98" s="18">
        <v>5.1781762272058302E-2</v>
      </c>
      <c r="H98" s="18">
        <v>5.7700065170731035E-2</v>
      </c>
      <c r="I98" s="18">
        <v>8.6741446472168408E-3</v>
      </c>
      <c r="J98" s="39">
        <f t="shared" si="1"/>
        <v>344.45022296368148</v>
      </c>
      <c r="K98" s="127">
        <v>484</v>
      </c>
      <c r="L98" s="32">
        <v>340</v>
      </c>
      <c r="M98" s="40" t="s">
        <v>368</v>
      </c>
    </row>
    <row r="99" spans="1:13" x14ac:dyDescent="0.3">
      <c r="A99" s="1" t="s">
        <v>566</v>
      </c>
      <c r="B99" s="1" t="s">
        <v>567</v>
      </c>
      <c r="C99" s="1" t="s">
        <v>568</v>
      </c>
      <c r="D99" s="1">
        <v>2024</v>
      </c>
      <c r="E99" s="1">
        <v>2022</v>
      </c>
      <c r="F99" s="18">
        <v>0.51100000000000001</v>
      </c>
      <c r="G99" s="18">
        <v>3.8594373270180046E-2</v>
      </c>
      <c r="H99" s="18">
        <v>8.3674999999999999E-2</v>
      </c>
      <c r="I99" s="18">
        <v>6.319734214055411E-3</v>
      </c>
      <c r="J99" s="39">
        <f t="shared" si="1"/>
        <v>511</v>
      </c>
      <c r="K99" s="127"/>
      <c r="L99" s="32"/>
      <c r="M99" s="40"/>
    </row>
    <row r="100" spans="1:13" x14ac:dyDescent="0.3">
      <c r="A100" s="7" t="s">
        <v>66</v>
      </c>
      <c r="B100" s="1" t="s">
        <v>569</v>
      </c>
      <c r="C100" s="1" t="s">
        <v>570</v>
      </c>
      <c r="D100" s="1">
        <v>2024</v>
      </c>
      <c r="E100" s="1">
        <v>2022</v>
      </c>
      <c r="F100" s="18">
        <v>0.33780803518737457</v>
      </c>
      <c r="G100" s="18">
        <v>1.0460520881869105E-2</v>
      </c>
      <c r="H100" s="18">
        <v>6.1591682549376185E-2</v>
      </c>
      <c r="I100" s="18">
        <v>1.9072402499242928E-3</v>
      </c>
      <c r="J100" s="39">
        <f t="shared" si="1"/>
        <v>337.80803518737457</v>
      </c>
      <c r="K100" s="127">
        <v>337</v>
      </c>
      <c r="L100" s="32">
        <v>417</v>
      </c>
      <c r="M100" s="40">
        <v>715</v>
      </c>
    </row>
    <row r="101" spans="1:13" x14ac:dyDescent="0.3">
      <c r="A101" s="1" t="s">
        <v>571</v>
      </c>
      <c r="B101" s="1" t="s">
        <v>572</v>
      </c>
      <c r="C101" s="1" t="s">
        <v>573</v>
      </c>
      <c r="D101" s="1">
        <v>2024</v>
      </c>
      <c r="E101" s="1">
        <v>2022</v>
      </c>
      <c r="F101" s="18">
        <v>0.17895704082567568</v>
      </c>
      <c r="G101" s="18">
        <v>2.1619726773027509E-2</v>
      </c>
      <c r="H101" s="18">
        <v>3.9470558631081079E-2</v>
      </c>
      <c r="I101" s="18">
        <v>4.7684220148342064E-3</v>
      </c>
      <c r="J101" s="39">
        <f t="shared" si="1"/>
        <v>178.95704082567568</v>
      </c>
      <c r="K101" s="127"/>
      <c r="L101" s="32"/>
      <c r="M101" s="40"/>
    </row>
    <row r="102" spans="1:13" x14ac:dyDescent="0.3">
      <c r="A102" s="1" t="s">
        <v>574</v>
      </c>
      <c r="B102" s="1" t="s">
        <v>575</v>
      </c>
      <c r="C102" s="1" t="s">
        <v>576</v>
      </c>
      <c r="D102" s="1">
        <v>2024</v>
      </c>
      <c r="E102" s="1">
        <v>2022</v>
      </c>
      <c r="F102" s="18">
        <v>0.74005621621621631</v>
      </c>
      <c r="G102" s="18">
        <v>0.14044276038931128</v>
      </c>
      <c r="H102" s="18">
        <v>0.16322594594594594</v>
      </c>
      <c r="I102" s="18">
        <v>3.097589333552421E-2</v>
      </c>
      <c r="J102" s="39">
        <f t="shared" si="1"/>
        <v>740.05621621621628</v>
      </c>
      <c r="K102" s="127"/>
      <c r="L102" s="32"/>
      <c r="M102" s="40"/>
    </row>
    <row r="103" spans="1:13" x14ac:dyDescent="0.3">
      <c r="A103" s="1" t="s">
        <v>577</v>
      </c>
      <c r="B103" s="1" t="s">
        <v>578</v>
      </c>
      <c r="C103" s="1" t="s">
        <v>579</v>
      </c>
      <c r="D103" s="1">
        <v>2023</v>
      </c>
      <c r="E103" s="1">
        <v>2021</v>
      </c>
      <c r="F103" s="18">
        <v>0.54478067955882226</v>
      </c>
      <c r="G103" s="18">
        <v>0.10338471695460008</v>
      </c>
      <c r="H103" s="18">
        <v>0.1293658191783407</v>
      </c>
      <c r="I103" s="18">
        <v>2.4550152201035666E-2</v>
      </c>
      <c r="J103" s="39">
        <f t="shared" si="1"/>
        <v>544.78067955882227</v>
      </c>
      <c r="K103" s="127"/>
      <c r="L103" s="32"/>
      <c r="M103" s="40"/>
    </row>
    <row r="104" spans="1:13" x14ac:dyDescent="0.3">
      <c r="A104" s="1" t="s">
        <v>580</v>
      </c>
      <c r="B104" s="1" t="s">
        <v>581</v>
      </c>
      <c r="C104" s="1" t="s">
        <v>582</v>
      </c>
      <c r="D104" s="1">
        <v>2024</v>
      </c>
      <c r="E104" s="1">
        <v>2022</v>
      </c>
      <c r="F104" s="18">
        <v>0.73124600114054061</v>
      </c>
      <c r="G104" s="18">
        <v>8.8341529763713122E-2</v>
      </c>
      <c r="H104" s="18">
        <v>0.16128277506486488</v>
      </c>
      <c r="I104" s="18">
        <v>1.9484505968640018E-2</v>
      </c>
      <c r="J104" s="39">
        <f t="shared" si="1"/>
        <v>731.24600114054056</v>
      </c>
      <c r="K104" s="127"/>
      <c r="L104" s="32"/>
      <c r="M104" s="40"/>
    </row>
    <row r="105" spans="1:13" x14ac:dyDescent="0.3">
      <c r="A105" s="1" t="s">
        <v>583</v>
      </c>
      <c r="B105" s="1" t="s">
        <v>584</v>
      </c>
      <c r="C105" s="1" t="s">
        <v>585</v>
      </c>
      <c r="D105" s="1">
        <v>2024</v>
      </c>
      <c r="E105" s="1">
        <v>2022</v>
      </c>
      <c r="F105" s="18">
        <v>0.31329016064478604</v>
      </c>
      <c r="G105" s="18">
        <v>5.9454044165355116E-2</v>
      </c>
      <c r="H105" s="18">
        <v>7.9843976933070326E-2</v>
      </c>
      <c r="I105" s="18">
        <v>1.5152238810010522E-2</v>
      </c>
      <c r="J105" s="39">
        <f t="shared" si="1"/>
        <v>313.29016064478606</v>
      </c>
      <c r="K105" s="127"/>
      <c r="L105" s="32"/>
      <c r="M105" s="40"/>
    </row>
    <row r="106" spans="1:13" x14ac:dyDescent="0.3">
      <c r="A106" s="1" t="s">
        <v>586</v>
      </c>
      <c r="B106" s="1" t="s">
        <v>587</v>
      </c>
      <c r="C106" s="1" t="s">
        <v>588</v>
      </c>
      <c r="D106" s="1">
        <v>2024</v>
      </c>
      <c r="E106" s="1">
        <v>2022</v>
      </c>
      <c r="F106" s="18">
        <v>0.2586545041864865</v>
      </c>
      <c r="G106" s="18">
        <v>3.8883952320141073E-2</v>
      </c>
      <c r="H106" s="18">
        <v>5.7048539278378378E-2</v>
      </c>
      <c r="I106" s="18">
        <v>8.5761997001019344E-3</v>
      </c>
      <c r="J106" s="39">
        <f t="shared" si="1"/>
        <v>258.65450418648652</v>
      </c>
      <c r="K106" s="127"/>
      <c r="L106" s="32"/>
      <c r="M106" s="40"/>
    </row>
    <row r="107" spans="1:13" x14ac:dyDescent="0.3">
      <c r="A107" s="1" t="s">
        <v>589</v>
      </c>
      <c r="B107" s="1" t="s">
        <v>590</v>
      </c>
      <c r="C107" s="1" t="s">
        <v>591</v>
      </c>
      <c r="D107" s="1">
        <v>2024</v>
      </c>
      <c r="E107" s="1">
        <v>2022</v>
      </c>
      <c r="F107" s="18">
        <v>0.77089189189189189</v>
      </c>
      <c r="G107" s="18">
        <v>0.1158894319763937</v>
      </c>
      <c r="H107" s="18">
        <v>0.17002702702702702</v>
      </c>
      <c r="I107" s="18">
        <v>2.5560439524716642E-2</v>
      </c>
      <c r="J107" s="39">
        <f t="shared" si="1"/>
        <v>770.89189189189187</v>
      </c>
      <c r="K107" s="127"/>
      <c r="L107" s="32"/>
      <c r="M107" s="40"/>
    </row>
    <row r="108" spans="1:13" x14ac:dyDescent="0.3">
      <c r="A108" s="1" t="s">
        <v>592</v>
      </c>
      <c r="B108" s="1" t="s">
        <v>593</v>
      </c>
      <c r="C108" s="1" t="s">
        <v>594</v>
      </c>
      <c r="D108" s="1">
        <v>2024</v>
      </c>
      <c r="E108" s="1">
        <v>2022</v>
      </c>
      <c r="F108" s="18">
        <v>0.75309169019561395</v>
      </c>
      <c r="G108" s="18">
        <v>0.14291654266224441</v>
      </c>
      <c r="H108" s="18">
        <v>0.16646749807973937</v>
      </c>
      <c r="I108" s="18">
        <v>3.1591052724284488E-2</v>
      </c>
      <c r="J108" s="39">
        <f t="shared" si="1"/>
        <v>753.09169019561398</v>
      </c>
      <c r="K108" s="127"/>
      <c r="L108" s="32"/>
      <c r="M108" s="40"/>
    </row>
    <row r="109" spans="1:13" x14ac:dyDescent="0.3">
      <c r="A109" s="1" t="s">
        <v>595</v>
      </c>
      <c r="B109" s="1" t="s">
        <v>596</v>
      </c>
      <c r="C109" s="1" t="s">
        <v>597</v>
      </c>
      <c r="D109" s="1">
        <v>2024</v>
      </c>
      <c r="E109" s="1">
        <v>2022</v>
      </c>
      <c r="F109" s="18">
        <v>0.6671180485972974</v>
      </c>
      <c r="G109" s="18">
        <v>0.12660105840278751</v>
      </c>
      <c r="H109" s="18">
        <v>0.14713878777567568</v>
      </c>
      <c r="I109" s="18">
        <v>2.7922983501452728E-2</v>
      </c>
      <c r="J109" s="39">
        <f t="shared" si="1"/>
        <v>667.11804859729739</v>
      </c>
      <c r="K109" s="127"/>
      <c r="L109" s="32"/>
      <c r="M109" s="40"/>
    </row>
    <row r="110" spans="1:13" x14ac:dyDescent="0.3">
      <c r="A110" s="1" t="s">
        <v>598</v>
      </c>
      <c r="B110" s="1" t="s">
        <v>599</v>
      </c>
      <c r="C110" s="1" t="s">
        <v>600</v>
      </c>
      <c r="D110" s="1">
        <v>2024</v>
      </c>
      <c r="E110" s="1">
        <v>2022</v>
      </c>
      <c r="F110" s="18">
        <v>0.28958576058494523</v>
      </c>
      <c r="G110" s="18">
        <v>5.495558674438001E-2</v>
      </c>
      <c r="H110" s="18">
        <v>7.4015897100893929E-2</v>
      </c>
      <c r="I110" s="18">
        <v>1.4046226048459731E-2</v>
      </c>
      <c r="J110" s="39">
        <f t="shared" si="1"/>
        <v>289.58576058494521</v>
      </c>
      <c r="K110" s="127"/>
      <c r="L110" s="32"/>
      <c r="M110" s="40"/>
    </row>
    <row r="111" spans="1:13" x14ac:dyDescent="0.3">
      <c r="A111" s="7" t="s">
        <v>41</v>
      </c>
      <c r="B111" s="1" t="s">
        <v>297</v>
      </c>
      <c r="C111" s="1" t="s">
        <v>601</v>
      </c>
      <c r="D111" s="1">
        <v>2024</v>
      </c>
      <c r="E111" s="1">
        <v>2022</v>
      </c>
      <c r="F111" s="18">
        <v>0.69293806873392616</v>
      </c>
      <c r="G111" s="18">
        <v>9.1468653332337571E-2</v>
      </c>
      <c r="H111" s="18">
        <v>0.11940051074471336</v>
      </c>
      <c r="I111" s="18">
        <v>1.5761010136110483E-2</v>
      </c>
      <c r="J111" s="39">
        <f t="shared" si="1"/>
        <v>692.93806873392612</v>
      </c>
      <c r="K111" s="127">
        <v>699</v>
      </c>
      <c r="L111" s="32" t="s">
        <v>368</v>
      </c>
      <c r="M111" s="40" t="s">
        <v>368</v>
      </c>
    </row>
    <row r="112" spans="1:13" x14ac:dyDescent="0.3">
      <c r="A112" s="7" t="s">
        <v>75</v>
      </c>
      <c r="B112" s="1" t="s">
        <v>602</v>
      </c>
      <c r="C112" s="1" t="s">
        <v>603</v>
      </c>
      <c r="D112" s="1">
        <v>2024</v>
      </c>
      <c r="E112" s="1">
        <v>2022</v>
      </c>
      <c r="F112" s="18">
        <v>0.23251872450315081</v>
      </c>
      <c r="G112" s="18">
        <v>1.7561476410529867E-2</v>
      </c>
      <c r="H112" s="18">
        <v>4.6020489911016968E-2</v>
      </c>
      <c r="I112" s="18">
        <v>3.4757964103764066E-3</v>
      </c>
      <c r="J112" s="39">
        <f t="shared" si="1"/>
        <v>232.51872450315082</v>
      </c>
      <c r="K112" s="127">
        <v>204</v>
      </c>
      <c r="L112" s="32">
        <v>294</v>
      </c>
      <c r="M112" s="40">
        <v>339</v>
      </c>
    </row>
    <row r="113" spans="1:13" x14ac:dyDescent="0.3">
      <c r="A113" s="1" t="s">
        <v>604</v>
      </c>
      <c r="B113" s="1" t="s">
        <v>605</v>
      </c>
      <c r="C113" s="1" t="s">
        <v>606</v>
      </c>
      <c r="D113" s="1">
        <v>2024</v>
      </c>
      <c r="E113" s="1">
        <v>2022</v>
      </c>
      <c r="F113" s="18">
        <v>0</v>
      </c>
      <c r="G113" s="18">
        <v>0</v>
      </c>
      <c r="H113" s="18">
        <v>0</v>
      </c>
      <c r="I113" s="18">
        <v>0</v>
      </c>
      <c r="J113" s="39">
        <f t="shared" si="1"/>
        <v>0</v>
      </c>
      <c r="K113" s="127"/>
      <c r="L113" s="32"/>
      <c r="M113" s="40"/>
    </row>
    <row r="114" spans="1:13" x14ac:dyDescent="0.3">
      <c r="A114" s="7" t="s">
        <v>39</v>
      </c>
      <c r="B114" s="1" t="s">
        <v>253</v>
      </c>
      <c r="C114" s="1" t="s">
        <v>607</v>
      </c>
      <c r="D114" s="1">
        <v>2024</v>
      </c>
      <c r="E114" s="1">
        <v>2022</v>
      </c>
      <c r="F114" s="18">
        <v>0.93354866985698393</v>
      </c>
      <c r="G114" s="18">
        <v>0.20694606138418636</v>
      </c>
      <c r="H114" s="18">
        <v>0.1679070707154047</v>
      </c>
      <c r="I114" s="18">
        <v>3.7221098465527541E-2</v>
      </c>
      <c r="J114" s="39">
        <f t="shared" si="1"/>
        <v>933.54866985698391</v>
      </c>
      <c r="K114" s="127">
        <v>713</v>
      </c>
      <c r="L114" s="32">
        <f>(632+752+781+544)/4</f>
        <v>677.25</v>
      </c>
      <c r="M114" s="40">
        <v>1063</v>
      </c>
    </row>
    <row r="115" spans="1:13" x14ac:dyDescent="0.3">
      <c r="A115" s="7" t="s">
        <v>67</v>
      </c>
      <c r="B115" s="1" t="s">
        <v>608</v>
      </c>
      <c r="C115" s="1" t="s">
        <v>609</v>
      </c>
      <c r="D115" s="1">
        <v>2024</v>
      </c>
      <c r="E115" s="1">
        <v>2022</v>
      </c>
      <c r="F115" s="18">
        <v>0.70711014976882469</v>
      </c>
      <c r="G115" s="18">
        <v>7.1979988610283985E-2</v>
      </c>
      <c r="H115" s="18">
        <v>0.13122297807501856</v>
      </c>
      <c r="I115" s="18">
        <v>1.3357789405703443E-2</v>
      </c>
      <c r="J115" s="39">
        <f t="shared" si="1"/>
        <v>707.11014976882473</v>
      </c>
      <c r="K115" s="127">
        <v>676</v>
      </c>
      <c r="L115" s="32"/>
      <c r="M115" s="40">
        <v>974</v>
      </c>
    </row>
    <row r="116" spans="1:13" x14ac:dyDescent="0.3">
      <c r="A116" s="1" t="s">
        <v>610</v>
      </c>
      <c r="B116" s="1" t="s">
        <v>611</v>
      </c>
      <c r="C116" s="1" t="s">
        <v>612</v>
      </c>
      <c r="D116" s="1">
        <v>2024</v>
      </c>
      <c r="E116" s="1">
        <v>2022</v>
      </c>
      <c r="F116" s="18">
        <v>0.51176999929422096</v>
      </c>
      <c r="G116" s="18">
        <v>8.1178364665103184E-2</v>
      </c>
      <c r="H116" s="18">
        <v>8.7757382342002255E-2</v>
      </c>
      <c r="I116" s="18">
        <v>1.3920317321528448E-2</v>
      </c>
      <c r="J116" s="39">
        <f t="shared" si="1"/>
        <v>511.76999929422095</v>
      </c>
      <c r="K116" s="127"/>
      <c r="L116" s="32"/>
      <c r="M116" s="40"/>
    </row>
    <row r="117" spans="1:13" x14ac:dyDescent="0.3">
      <c r="A117" s="1" t="s">
        <v>613</v>
      </c>
      <c r="B117" s="1" t="s">
        <v>614</v>
      </c>
      <c r="C117" s="1" t="s">
        <v>615</v>
      </c>
      <c r="D117" s="1">
        <v>2024</v>
      </c>
      <c r="E117" s="1">
        <v>2022</v>
      </c>
      <c r="F117" s="18">
        <v>0.57454321088756755</v>
      </c>
      <c r="G117" s="18">
        <v>9.1135624115543795E-2</v>
      </c>
      <c r="H117" s="18">
        <v>0.1068068068731081</v>
      </c>
      <c r="I117" s="18">
        <v>1.694198942692561E-2</v>
      </c>
      <c r="J117" s="39">
        <f t="shared" si="1"/>
        <v>574.54321088756751</v>
      </c>
      <c r="K117" s="127"/>
      <c r="L117" s="32"/>
      <c r="M117" s="40"/>
    </row>
    <row r="118" spans="1:13" x14ac:dyDescent="0.3">
      <c r="A118" s="7" t="s">
        <v>31</v>
      </c>
      <c r="B118" s="1" t="s">
        <v>269</v>
      </c>
      <c r="C118" s="1" t="s">
        <v>616</v>
      </c>
      <c r="D118" s="1">
        <v>2024</v>
      </c>
      <c r="E118" s="1">
        <v>2022</v>
      </c>
      <c r="F118" s="18">
        <v>0.31413300456814996</v>
      </c>
      <c r="G118" s="18">
        <v>2.6284521884915205E-2</v>
      </c>
      <c r="H118" s="18">
        <v>5.7529356654062259E-2</v>
      </c>
      <c r="I118" s="18">
        <v>4.8136668608813448E-3</v>
      </c>
      <c r="J118" s="39">
        <f t="shared" si="1"/>
        <v>314.13300456814994</v>
      </c>
      <c r="K118" s="127">
        <v>291</v>
      </c>
      <c r="L118" s="32">
        <v>409</v>
      </c>
      <c r="M118" s="40">
        <v>402</v>
      </c>
    </row>
    <row r="119" spans="1:13" x14ac:dyDescent="0.3">
      <c r="A119" s="7" t="s">
        <v>617</v>
      </c>
      <c r="B119" s="1" t="s">
        <v>618</v>
      </c>
      <c r="C119" s="1" t="s">
        <v>619</v>
      </c>
      <c r="D119" s="1">
        <v>2024</v>
      </c>
      <c r="E119" s="1">
        <v>2022</v>
      </c>
      <c r="F119" s="18">
        <v>0.56500877897403212</v>
      </c>
      <c r="G119" s="18">
        <v>1.8939226501445496E-2</v>
      </c>
      <c r="H119" s="18">
        <v>9.5693940225086094E-2</v>
      </c>
      <c r="I119" s="18">
        <v>3.2076832718062748E-3</v>
      </c>
      <c r="J119" s="39">
        <f t="shared" si="1"/>
        <v>565.00877897403211</v>
      </c>
      <c r="K119" s="127">
        <v>583</v>
      </c>
      <c r="L119" s="32">
        <v>537</v>
      </c>
      <c r="M119" s="40" t="s">
        <v>368</v>
      </c>
    </row>
    <row r="120" spans="1:13" x14ac:dyDescent="0.3">
      <c r="A120" s="7" t="s">
        <v>33</v>
      </c>
      <c r="B120" s="1" t="s">
        <v>266</v>
      </c>
      <c r="C120" s="1" t="s">
        <v>620</v>
      </c>
      <c r="D120" s="1">
        <v>2024</v>
      </c>
      <c r="E120" s="1">
        <v>2022</v>
      </c>
      <c r="F120" s="18">
        <v>0.31431633442806839</v>
      </c>
      <c r="G120" s="18">
        <v>2.2246906649912659E-2</v>
      </c>
      <c r="H120" s="18">
        <v>6.10505420471067E-2</v>
      </c>
      <c r="I120" s="18">
        <v>4.3210789929830152E-3</v>
      </c>
      <c r="J120" s="39">
        <f t="shared" si="1"/>
        <v>314.31633442806839</v>
      </c>
      <c r="K120" s="127">
        <v>331</v>
      </c>
      <c r="L120" s="32">
        <f>(340+360+412+462)/4</f>
        <v>393.5</v>
      </c>
      <c r="M120" s="40">
        <v>377</v>
      </c>
    </row>
    <row r="121" spans="1:13" x14ac:dyDescent="0.3">
      <c r="A121" s="1" t="s">
        <v>621</v>
      </c>
      <c r="B121" s="1" t="s">
        <v>622</v>
      </c>
      <c r="C121" s="1" t="s">
        <v>623</v>
      </c>
      <c r="D121" s="1">
        <v>2024</v>
      </c>
      <c r="E121" s="1">
        <v>2022</v>
      </c>
      <c r="F121" s="18">
        <v>0.51544032264932826</v>
      </c>
      <c r="G121" s="18">
        <v>9.7816706545546167E-2</v>
      </c>
      <c r="H121" s="18">
        <v>9.8039682563096531E-2</v>
      </c>
      <c r="I121" s="18">
        <v>1.8605294226500133E-2</v>
      </c>
      <c r="J121" s="39">
        <f t="shared" si="1"/>
        <v>515.44032264932821</v>
      </c>
      <c r="K121" s="127"/>
      <c r="L121" s="32"/>
      <c r="M121" s="40"/>
    </row>
    <row r="122" spans="1:13" x14ac:dyDescent="0.3">
      <c r="A122" s="7" t="s">
        <v>23</v>
      </c>
      <c r="B122" s="1" t="s">
        <v>274</v>
      </c>
      <c r="C122" s="1" t="s">
        <v>624</v>
      </c>
      <c r="D122" s="1">
        <v>2024</v>
      </c>
      <c r="E122" s="1">
        <v>2022</v>
      </c>
      <c r="F122" s="18">
        <v>0.45773298049048405</v>
      </c>
      <c r="G122" s="18">
        <v>2.2514434581840548E-2</v>
      </c>
      <c r="H122" s="18">
        <v>8.4445440100134911E-2</v>
      </c>
      <c r="I122" s="18">
        <v>4.1536035590704996E-3</v>
      </c>
      <c r="J122" s="39">
        <f t="shared" si="1"/>
        <v>457.73298049048407</v>
      </c>
      <c r="K122" s="127">
        <v>485</v>
      </c>
      <c r="L122" s="32">
        <f>(483+499+548+500+462+421+500+408+316)/9</f>
        <v>459.66666666666669</v>
      </c>
      <c r="M122" s="40">
        <v>597</v>
      </c>
    </row>
    <row r="123" spans="1:13" x14ac:dyDescent="0.3">
      <c r="A123" s="1" t="s">
        <v>625</v>
      </c>
      <c r="B123" s="1" t="s">
        <v>626</v>
      </c>
      <c r="C123" s="1" t="s">
        <v>627</v>
      </c>
      <c r="D123" s="1">
        <v>2024</v>
      </c>
      <c r="E123" s="1">
        <v>2022</v>
      </c>
      <c r="F123" s="18">
        <v>0.40558143495905408</v>
      </c>
      <c r="G123" s="18">
        <v>6.4334442569724329E-2</v>
      </c>
      <c r="H123" s="18">
        <v>6.8335398042736473E-2</v>
      </c>
      <c r="I123" s="18">
        <v>1.0839548761159438E-2</v>
      </c>
      <c r="J123" s="39">
        <f t="shared" si="1"/>
        <v>405.58143495905409</v>
      </c>
      <c r="K123" s="127"/>
      <c r="L123" s="32"/>
      <c r="M123" s="40"/>
    </row>
    <row r="124" spans="1:13" x14ac:dyDescent="0.3">
      <c r="A124" s="1" t="s">
        <v>628</v>
      </c>
      <c r="B124" s="1" t="s">
        <v>629</v>
      </c>
      <c r="C124" s="1" t="s">
        <v>630</v>
      </c>
      <c r="D124" s="1">
        <v>2024</v>
      </c>
      <c r="E124" s="1">
        <v>2022</v>
      </c>
      <c r="F124" s="18">
        <v>0.76797040173048114</v>
      </c>
      <c r="G124" s="18">
        <v>0.11278456232646739</v>
      </c>
      <c r="H124" s="18">
        <v>0.13491728542495879</v>
      </c>
      <c r="I124" s="18">
        <v>1.9814027926911316E-2</v>
      </c>
      <c r="J124" s="39">
        <f t="shared" si="1"/>
        <v>767.97040173048117</v>
      </c>
      <c r="K124" s="127"/>
      <c r="L124" s="32"/>
      <c r="M124" s="40"/>
    </row>
    <row r="125" spans="1:13" x14ac:dyDescent="0.3">
      <c r="A125" s="1" t="s">
        <v>631</v>
      </c>
      <c r="B125" s="1" t="s">
        <v>632</v>
      </c>
      <c r="C125" s="1" t="s">
        <v>633</v>
      </c>
      <c r="D125" s="1">
        <v>2024</v>
      </c>
      <c r="E125" s="1">
        <v>2022</v>
      </c>
      <c r="F125" s="18">
        <v>6.2505050716220853E-2</v>
      </c>
      <c r="G125" s="18">
        <v>9.3964859396579968E-3</v>
      </c>
      <c r="H125" s="18">
        <v>1.6128517608959073E-2</v>
      </c>
      <c r="I125" s="18">
        <v>2.4246262854528146E-3</v>
      </c>
      <c r="J125" s="39">
        <f t="shared" si="1"/>
        <v>62.50505071622085</v>
      </c>
      <c r="K125" s="127"/>
      <c r="L125" s="32"/>
      <c r="M125" s="40"/>
    </row>
    <row r="126" spans="1:13" x14ac:dyDescent="0.3">
      <c r="A126" s="1" t="s">
        <v>634</v>
      </c>
      <c r="B126" s="1" t="s">
        <v>635</v>
      </c>
      <c r="C126" s="1" t="s">
        <v>636</v>
      </c>
      <c r="D126" s="1">
        <v>2024</v>
      </c>
      <c r="E126" s="1">
        <v>2022</v>
      </c>
      <c r="F126" s="18">
        <v>0.77089189189189189</v>
      </c>
      <c r="G126" s="18">
        <v>5.2901343469284032E-2</v>
      </c>
      <c r="H126" s="18">
        <v>0.17002702702702702</v>
      </c>
      <c r="I126" s="18">
        <v>1.166785933335434E-2</v>
      </c>
      <c r="J126" s="39">
        <f t="shared" si="1"/>
        <v>770.89189189189187</v>
      </c>
      <c r="K126" s="127"/>
      <c r="L126" s="32"/>
      <c r="M126" s="40"/>
    </row>
    <row r="127" spans="1:13" x14ac:dyDescent="0.3">
      <c r="A127" s="1" t="s">
        <v>637</v>
      </c>
      <c r="B127" s="1" t="s">
        <v>638</v>
      </c>
      <c r="C127" s="1" t="s">
        <v>639</v>
      </c>
      <c r="D127" s="1">
        <v>2024</v>
      </c>
      <c r="E127" s="1">
        <v>2022</v>
      </c>
      <c r="F127" s="18">
        <v>0.91688997278441331</v>
      </c>
      <c r="G127" s="18" t="s">
        <v>639</v>
      </c>
      <c r="H127" s="18">
        <v>0.1629038011355437</v>
      </c>
      <c r="I127" s="18" t="s">
        <v>639</v>
      </c>
      <c r="J127" s="39">
        <f t="shared" si="1"/>
        <v>916.88997278441332</v>
      </c>
      <c r="K127" s="127"/>
      <c r="L127" s="32"/>
      <c r="M127" s="40"/>
    </row>
    <row r="128" spans="1:13" x14ac:dyDescent="0.3">
      <c r="A128" s="7" t="s">
        <v>44</v>
      </c>
      <c r="B128" s="1" t="s">
        <v>640</v>
      </c>
      <c r="C128" s="1" t="s">
        <v>641</v>
      </c>
      <c r="D128" s="1">
        <v>2024</v>
      </c>
      <c r="E128" s="1">
        <v>2022</v>
      </c>
      <c r="F128" s="18">
        <v>0.62396187035135142</v>
      </c>
      <c r="G128" s="18">
        <v>9.8974547781925465E-2</v>
      </c>
      <c r="H128" s="18">
        <v>0.12140712511741217</v>
      </c>
      <c r="I128" s="18">
        <v>1.925793205798491E-2</v>
      </c>
      <c r="J128" s="39">
        <f t="shared" si="1"/>
        <v>623.96187035135142</v>
      </c>
      <c r="K128" s="127">
        <v>649</v>
      </c>
      <c r="L128" s="32" t="s">
        <v>368</v>
      </c>
      <c r="M128" s="40" t="s">
        <v>368</v>
      </c>
    </row>
    <row r="129" spans="1:13" x14ac:dyDescent="0.3">
      <c r="A129" s="1" t="s">
        <v>642</v>
      </c>
      <c r="B129" s="1" t="s">
        <v>643</v>
      </c>
      <c r="C129" s="1" t="s">
        <v>644</v>
      </c>
      <c r="D129" s="1">
        <v>2024</v>
      </c>
      <c r="E129" s="1">
        <v>2022</v>
      </c>
      <c r="F129" s="18">
        <v>0.13247439340737263</v>
      </c>
      <c r="G129" s="18">
        <v>1.9455263440163597E-2</v>
      </c>
      <c r="H129" s="18">
        <v>2.3542108843175952E-2</v>
      </c>
      <c r="I129" s="18">
        <v>3.4574072596244322E-3</v>
      </c>
      <c r="J129" s="39">
        <f t="shared" si="1"/>
        <v>132.47439340737265</v>
      </c>
      <c r="K129" s="127"/>
      <c r="L129" s="32"/>
      <c r="M129" s="40"/>
    </row>
    <row r="130" spans="1:13" x14ac:dyDescent="0.3">
      <c r="A130" s="1" t="s">
        <v>645</v>
      </c>
      <c r="B130" s="1" t="s">
        <v>646</v>
      </c>
      <c r="C130" s="1" t="s">
        <v>647</v>
      </c>
      <c r="D130" s="1">
        <v>2024</v>
      </c>
      <c r="E130" s="1">
        <v>2022</v>
      </c>
      <c r="F130" s="18">
        <v>0.26511223044229104</v>
      </c>
      <c r="G130" s="18">
        <v>3.8934530302797983E-2</v>
      </c>
      <c r="H130" s="18">
        <v>4.7250982284326719E-2</v>
      </c>
      <c r="I130" s="18">
        <v>6.9393056612925648E-3</v>
      </c>
      <c r="J130" s="39">
        <f t="shared" si="1"/>
        <v>265.11223044229104</v>
      </c>
      <c r="K130" s="127"/>
      <c r="L130" s="32"/>
      <c r="M130" s="40"/>
    </row>
    <row r="131" spans="1:13" x14ac:dyDescent="0.3">
      <c r="A131" s="7" t="s">
        <v>60</v>
      </c>
      <c r="B131" s="1" t="s">
        <v>648</v>
      </c>
      <c r="C131" s="1" t="s">
        <v>649</v>
      </c>
      <c r="D131" s="1">
        <v>2024</v>
      </c>
      <c r="E131" s="1">
        <v>2022</v>
      </c>
      <c r="F131" s="18">
        <v>0.12909505744657143</v>
      </c>
      <c r="G131" s="18">
        <v>1.0541145292253876E-2</v>
      </c>
      <c r="H131" s="18">
        <v>3.7439659428535707E-2</v>
      </c>
      <c r="I131" s="18">
        <v>3.0571030179992308E-3</v>
      </c>
      <c r="J131" s="39">
        <f t="shared" si="1"/>
        <v>129.09505744657145</v>
      </c>
      <c r="K131" s="127">
        <v>123</v>
      </c>
      <c r="L131" s="32">
        <v>195</v>
      </c>
      <c r="M131" s="40" t="s">
        <v>368</v>
      </c>
    </row>
    <row r="132" spans="1:13" x14ac:dyDescent="0.3">
      <c r="A132" s="1" t="s">
        <v>650</v>
      </c>
      <c r="B132" s="1" t="s">
        <v>651</v>
      </c>
      <c r="C132" s="1" t="s">
        <v>652</v>
      </c>
      <c r="D132" s="1">
        <v>2024</v>
      </c>
      <c r="E132" s="1">
        <v>2022</v>
      </c>
      <c r="F132" s="18">
        <v>0.69811810859757373</v>
      </c>
      <c r="G132" s="18">
        <v>0.11073741422358108</v>
      </c>
      <c r="H132" s="18">
        <v>0.15427414891879226</v>
      </c>
      <c r="I132" s="18">
        <v>2.4471389758288969E-2</v>
      </c>
      <c r="J132" s="39">
        <f t="shared" si="1"/>
        <v>698.11810859757372</v>
      </c>
      <c r="K132" s="127"/>
      <c r="L132" s="32"/>
      <c r="M132" s="40"/>
    </row>
    <row r="133" spans="1:13" x14ac:dyDescent="0.3">
      <c r="A133" s="1" t="s">
        <v>653</v>
      </c>
      <c r="B133" s="1" t="s">
        <v>654</v>
      </c>
      <c r="C133" s="1" t="s">
        <v>655</v>
      </c>
      <c r="D133" s="1">
        <v>2024</v>
      </c>
      <c r="E133" s="1">
        <v>2022</v>
      </c>
      <c r="F133" s="18">
        <v>0</v>
      </c>
      <c r="G133" s="18">
        <v>0</v>
      </c>
      <c r="H133" s="18">
        <v>0</v>
      </c>
      <c r="I133" s="18">
        <v>0</v>
      </c>
      <c r="J133" s="39">
        <f t="shared" si="1"/>
        <v>0</v>
      </c>
      <c r="K133" s="127"/>
      <c r="L133" s="32"/>
      <c r="M133" s="40"/>
    </row>
    <row r="134" spans="1:13" x14ac:dyDescent="0.3">
      <c r="A134" s="1" t="s">
        <v>656</v>
      </c>
      <c r="B134" s="1" t="s">
        <v>657</v>
      </c>
      <c r="C134" s="1" t="s">
        <v>658</v>
      </c>
      <c r="D134" s="1">
        <v>2024</v>
      </c>
      <c r="E134" s="1">
        <v>2022</v>
      </c>
      <c r="F134" s="18">
        <v>0.25371125243675674</v>
      </c>
      <c r="G134" s="18">
        <v>3.8140825244324279E-2</v>
      </c>
      <c r="H134" s="18">
        <v>5.5958261370810808E-2</v>
      </c>
      <c r="I134" s="18">
        <v>8.4122964489024305E-3</v>
      </c>
      <c r="J134" s="39">
        <f t="shared" si="1"/>
        <v>253.71125243675675</v>
      </c>
      <c r="K134" s="127"/>
      <c r="L134" s="32"/>
      <c r="M134" s="40"/>
    </row>
    <row r="135" spans="1:13" x14ac:dyDescent="0.3">
      <c r="A135" s="1" t="s">
        <v>659</v>
      </c>
      <c r="B135" s="1" t="s">
        <v>660</v>
      </c>
      <c r="C135" s="1" t="s">
        <v>661</v>
      </c>
      <c r="D135" s="1">
        <v>2024</v>
      </c>
      <c r="E135" s="1">
        <v>2022</v>
      </c>
      <c r="F135" s="18">
        <v>0.58627540535027023</v>
      </c>
      <c r="G135" s="18">
        <v>8.8135735272853247E-2</v>
      </c>
      <c r="H135" s="18">
        <v>0.10871454728493242</v>
      </c>
      <c r="I135" s="18">
        <v>1.6343234719335263E-2</v>
      </c>
      <c r="J135" s="39">
        <f t="shared" si="1"/>
        <v>586.27540535027026</v>
      </c>
      <c r="K135" s="127"/>
      <c r="L135" s="32"/>
      <c r="M135" s="40"/>
    </row>
    <row r="136" spans="1:13" x14ac:dyDescent="0.3">
      <c r="A136" s="7" t="s">
        <v>279</v>
      </c>
      <c r="B136" s="1" t="s">
        <v>278</v>
      </c>
      <c r="C136" s="1" t="s">
        <v>662</v>
      </c>
      <c r="D136" s="1">
        <v>2024</v>
      </c>
      <c r="E136" s="1">
        <v>2022</v>
      </c>
      <c r="F136" s="18">
        <v>0.1642544431111197</v>
      </c>
      <c r="G136" s="18">
        <v>1.6255106370107845E-2</v>
      </c>
      <c r="H136" s="18">
        <v>4.983926011825579E-2</v>
      </c>
      <c r="I136" s="18">
        <v>4.9322408531844251E-3</v>
      </c>
      <c r="J136" s="39">
        <f t="shared" si="1"/>
        <v>164.25444311111968</v>
      </c>
      <c r="K136" s="127">
        <v>160</v>
      </c>
      <c r="L136" s="32">
        <v>185</v>
      </c>
      <c r="M136" s="40">
        <v>359</v>
      </c>
    </row>
    <row r="137" spans="1:13" x14ac:dyDescent="0.3">
      <c r="A137" s="7" t="s">
        <v>54</v>
      </c>
      <c r="B137" s="1" t="s">
        <v>663</v>
      </c>
      <c r="C137" s="1" t="s">
        <v>664</v>
      </c>
      <c r="D137" s="1">
        <v>2024</v>
      </c>
      <c r="E137" s="1">
        <v>2022</v>
      </c>
      <c r="F137" s="18">
        <v>8.7092802251992965E-2</v>
      </c>
      <c r="G137" s="18">
        <v>1.6821884852581208E-3</v>
      </c>
      <c r="H137" s="18">
        <v>4.7878868023495259E-2</v>
      </c>
      <c r="I137" s="18">
        <v>9.2477539353114481E-4</v>
      </c>
      <c r="J137" s="39">
        <f t="shared" si="1"/>
        <v>87.092802251992964</v>
      </c>
      <c r="K137" s="127">
        <v>105</v>
      </c>
      <c r="L137" s="32">
        <v>306</v>
      </c>
      <c r="M137" s="40" t="s">
        <v>368</v>
      </c>
    </row>
    <row r="138" spans="1:13" x14ac:dyDescent="0.3">
      <c r="A138" s="1" t="s">
        <v>665</v>
      </c>
      <c r="B138" s="1" t="s">
        <v>666</v>
      </c>
      <c r="C138" s="1" t="s">
        <v>667</v>
      </c>
      <c r="D138" s="1">
        <v>2024</v>
      </c>
      <c r="E138" s="1">
        <v>2022</v>
      </c>
      <c r="F138" s="18">
        <v>0.33684540910779148</v>
      </c>
      <c r="G138" s="18">
        <v>3.5238880416205459E-2</v>
      </c>
      <c r="H138" s="18">
        <v>0.10023289186790926</v>
      </c>
      <c r="I138" s="18">
        <v>1.0485803857797056E-2</v>
      </c>
      <c r="J138" s="39">
        <f t="shared" si="1"/>
        <v>336.84540910779151</v>
      </c>
      <c r="K138" s="127"/>
      <c r="L138" s="32"/>
      <c r="M138" s="40"/>
    </row>
    <row r="139" spans="1:13" x14ac:dyDescent="0.3">
      <c r="A139" s="1" t="s">
        <v>668</v>
      </c>
      <c r="B139" s="1" t="s">
        <v>669</v>
      </c>
      <c r="C139" s="1" t="s">
        <v>670</v>
      </c>
      <c r="D139" s="1">
        <v>2024</v>
      </c>
      <c r="E139" s="1">
        <v>2022</v>
      </c>
      <c r="F139" s="18">
        <v>0.49898884738366456</v>
      </c>
      <c r="G139" s="18">
        <v>7.5013805040717557E-2</v>
      </c>
      <c r="H139" s="18">
        <v>0.10984735062173594</v>
      </c>
      <c r="I139" s="18">
        <v>1.6513530887480112E-2</v>
      </c>
      <c r="J139" s="39">
        <f t="shared" si="1"/>
        <v>498.98884738366456</v>
      </c>
      <c r="K139" s="127"/>
      <c r="L139" s="32"/>
      <c r="M139" s="40"/>
    </row>
    <row r="140" spans="1:13" x14ac:dyDescent="0.3">
      <c r="A140" s="1" t="s">
        <v>671</v>
      </c>
      <c r="B140" s="1" t="s">
        <v>672</v>
      </c>
      <c r="C140" s="1" t="s">
        <v>673</v>
      </c>
      <c r="D140" s="1">
        <v>2024</v>
      </c>
      <c r="E140" s="1">
        <v>2022</v>
      </c>
      <c r="F140" s="18">
        <v>4.6880364305180687E-2</v>
      </c>
      <c r="G140" s="18">
        <v>7.0476014176780255E-3</v>
      </c>
      <c r="H140" s="18">
        <v>1.4037579942511969E-2</v>
      </c>
      <c r="I140" s="18">
        <v>2.1102922251114678E-3</v>
      </c>
      <c r="J140" s="39">
        <f t="shared" si="1"/>
        <v>46.880364305180684</v>
      </c>
      <c r="K140" s="127"/>
      <c r="L140" s="32"/>
      <c r="M140" s="40"/>
    </row>
    <row r="141" spans="1:13" x14ac:dyDescent="0.3">
      <c r="A141" s="7" t="s">
        <v>72</v>
      </c>
      <c r="B141" s="1" t="s">
        <v>674</v>
      </c>
      <c r="C141" s="1" t="s">
        <v>675</v>
      </c>
      <c r="D141" s="1">
        <v>2024</v>
      </c>
      <c r="E141" s="1">
        <v>2022</v>
      </c>
      <c r="F141" s="18">
        <v>0.6145610466882977</v>
      </c>
      <c r="G141" s="18">
        <v>4.2590220645563892E-2</v>
      </c>
      <c r="H141" s="18">
        <v>0.10742466213297133</v>
      </c>
      <c r="I141" s="18">
        <v>7.444728375924776E-3</v>
      </c>
      <c r="J141" s="39">
        <f t="shared" si="1"/>
        <v>614.56104668829767</v>
      </c>
      <c r="K141" s="127">
        <v>606</v>
      </c>
      <c r="L141" s="32">
        <v>633</v>
      </c>
      <c r="M141" s="40">
        <v>833</v>
      </c>
    </row>
    <row r="142" spans="1:13" x14ac:dyDescent="0.3">
      <c r="A142" s="1" t="s">
        <v>676</v>
      </c>
      <c r="B142" s="1" t="s">
        <v>677</v>
      </c>
      <c r="C142" s="1" t="s">
        <v>678</v>
      </c>
      <c r="D142" s="1">
        <v>2024</v>
      </c>
      <c r="E142" s="1">
        <v>2022</v>
      </c>
      <c r="F142" s="18">
        <v>0.7164760208486487</v>
      </c>
      <c r="G142" s="18">
        <v>0.10522206877600877</v>
      </c>
      <c r="H142" s="18">
        <v>0.15802512523783782</v>
      </c>
      <c r="I142" s="18">
        <v>2.3207658194084459E-2</v>
      </c>
      <c r="J142" s="39">
        <f t="shared" si="1"/>
        <v>716.47602084864866</v>
      </c>
      <c r="K142" s="127"/>
      <c r="L142" s="32"/>
      <c r="M142" s="40"/>
    </row>
    <row r="143" spans="1:13" x14ac:dyDescent="0.3">
      <c r="A143" s="1" t="s">
        <v>679</v>
      </c>
      <c r="B143" s="1" t="s">
        <v>680</v>
      </c>
      <c r="C143" s="1" t="s">
        <v>681</v>
      </c>
      <c r="D143" s="1">
        <v>2024</v>
      </c>
      <c r="E143" s="1">
        <v>2022</v>
      </c>
      <c r="F143" s="18">
        <v>0.46510832742185326</v>
      </c>
      <c r="G143" s="18">
        <v>6.9920491367637949E-2</v>
      </c>
      <c r="H143" s="18">
        <v>0.10418116334525095</v>
      </c>
      <c r="I143" s="18">
        <v>1.5661723738059734E-2</v>
      </c>
      <c r="J143" s="39">
        <f t="shared" si="1"/>
        <v>465.10832742185329</v>
      </c>
      <c r="K143" s="127"/>
      <c r="L143" s="32"/>
      <c r="M143" s="40"/>
    </row>
    <row r="144" spans="1:13" x14ac:dyDescent="0.3">
      <c r="A144" s="1" t="s">
        <v>682</v>
      </c>
      <c r="B144" s="1" t="s">
        <v>683</v>
      </c>
      <c r="C144" s="1" t="s">
        <v>684</v>
      </c>
      <c r="D144" s="1">
        <v>2024</v>
      </c>
      <c r="E144" s="1">
        <v>2022</v>
      </c>
      <c r="F144" s="18">
        <v>0.45126822539710099</v>
      </c>
      <c r="G144" s="18">
        <v>7.0859610844352827E-2</v>
      </c>
      <c r="H144" s="18">
        <v>7.5478622654686175E-2</v>
      </c>
      <c r="I144" s="18">
        <v>1.1851899884314732E-2</v>
      </c>
      <c r="J144" s="39">
        <f t="shared" si="1"/>
        <v>451.26822539710099</v>
      </c>
      <c r="K144" s="127"/>
      <c r="L144" s="32"/>
      <c r="M144" s="40"/>
    </row>
    <row r="145" spans="1:13" x14ac:dyDescent="0.3">
      <c r="A145" s="1" t="s">
        <v>685</v>
      </c>
      <c r="B145" s="1" t="s">
        <v>686</v>
      </c>
      <c r="C145" s="1" t="s">
        <v>687</v>
      </c>
      <c r="D145" s="1">
        <v>2023</v>
      </c>
      <c r="E145" s="1">
        <v>2021</v>
      </c>
      <c r="F145" s="18">
        <v>0.57686781520807728</v>
      </c>
      <c r="G145" s="18">
        <v>0.10947399207292575</v>
      </c>
      <c r="H145" s="18">
        <v>0.14382327160869499</v>
      </c>
      <c r="I145" s="18">
        <v>2.7293787729019522E-2</v>
      </c>
      <c r="J145" s="39">
        <f t="shared" si="1"/>
        <v>576.86781520807733</v>
      </c>
      <c r="K145" s="127"/>
      <c r="L145" s="32"/>
      <c r="M145" s="40"/>
    </row>
    <row r="146" spans="1:13" x14ac:dyDescent="0.3">
      <c r="A146" s="1" t="s">
        <v>688</v>
      </c>
      <c r="B146" s="1" t="s">
        <v>689</v>
      </c>
      <c r="C146" s="1" t="s">
        <v>690</v>
      </c>
      <c r="D146" s="1">
        <v>2024</v>
      </c>
      <c r="E146" s="1">
        <v>2022</v>
      </c>
      <c r="F146" s="18">
        <v>0.53962432432432428</v>
      </c>
      <c r="G146" s="18">
        <v>8.1122602383475587E-2</v>
      </c>
      <c r="H146" s="18">
        <v>0.11901891891891891</v>
      </c>
      <c r="I146" s="18">
        <v>1.7892307667301651E-2</v>
      </c>
      <c r="J146" s="39">
        <f t="shared" si="1"/>
        <v>539.62432432432433</v>
      </c>
      <c r="K146" s="127"/>
      <c r="L146" s="32"/>
      <c r="M146" s="40"/>
    </row>
    <row r="147" spans="1:13" x14ac:dyDescent="0.3">
      <c r="A147" s="1" t="s">
        <v>691</v>
      </c>
      <c r="B147" s="1" t="s">
        <v>692</v>
      </c>
      <c r="C147" s="1" t="s">
        <v>693</v>
      </c>
      <c r="D147" s="1">
        <v>2024</v>
      </c>
      <c r="E147" s="1">
        <v>2022</v>
      </c>
      <c r="F147" s="18">
        <v>0.70292500915210754</v>
      </c>
      <c r="G147" s="18">
        <v>0.10567185994487419</v>
      </c>
      <c r="H147" s="18">
        <v>0.14993302100489322</v>
      </c>
      <c r="I147" s="18">
        <v>2.2539674916179434E-2</v>
      </c>
      <c r="J147" s="39">
        <f t="shared" si="1"/>
        <v>702.92500915210758</v>
      </c>
      <c r="K147" s="127"/>
      <c r="L147" s="32"/>
      <c r="M147" s="40"/>
    </row>
    <row r="148" spans="1:13" x14ac:dyDescent="0.3">
      <c r="A148" s="7" t="s">
        <v>48</v>
      </c>
      <c r="B148" s="1" t="s">
        <v>694</v>
      </c>
      <c r="C148" s="1" t="s">
        <v>695</v>
      </c>
      <c r="D148" s="1">
        <v>2024</v>
      </c>
      <c r="E148" s="1">
        <v>2022</v>
      </c>
      <c r="F148" s="18">
        <v>0.40596825741533676</v>
      </c>
      <c r="G148" s="18">
        <v>7.7814506294660635E-2</v>
      </c>
      <c r="H148" s="18">
        <v>7.4064024906366557E-2</v>
      </c>
      <c r="I148" s="18">
        <v>1.4196320591607508E-2</v>
      </c>
      <c r="J148" s="39">
        <f t="shared" si="1"/>
        <v>405.96825741533678</v>
      </c>
      <c r="K148" s="127">
        <v>507</v>
      </c>
      <c r="L148" s="32" t="s">
        <v>368</v>
      </c>
      <c r="M148" s="40">
        <v>636</v>
      </c>
    </row>
    <row r="149" spans="1:13" x14ac:dyDescent="0.3">
      <c r="A149" s="1" t="s">
        <v>696</v>
      </c>
      <c r="B149" s="1" t="s">
        <v>697</v>
      </c>
      <c r="C149" s="1" t="s">
        <v>698</v>
      </c>
      <c r="D149" s="1">
        <v>2024</v>
      </c>
      <c r="E149" s="1">
        <v>2022</v>
      </c>
      <c r="F149" s="18">
        <v>0.47388696600173108</v>
      </c>
      <c r="G149" s="18">
        <v>6.9595304626700993E-2</v>
      </c>
      <c r="H149" s="18">
        <v>7.9817631096721492E-2</v>
      </c>
      <c r="I149" s="18">
        <v>1.1722061903550397E-2</v>
      </c>
      <c r="J149" s="39">
        <f t="shared" si="1"/>
        <v>473.88696600173108</v>
      </c>
      <c r="K149" s="127"/>
      <c r="L149" s="32"/>
      <c r="M149" s="40"/>
    </row>
    <row r="150" spans="1:13" x14ac:dyDescent="0.3">
      <c r="A150" s="1" t="s">
        <v>699</v>
      </c>
      <c r="B150" s="1" t="s">
        <v>700</v>
      </c>
      <c r="C150" s="1" t="s">
        <v>701</v>
      </c>
      <c r="D150" s="1">
        <v>2024</v>
      </c>
      <c r="E150" s="1">
        <v>2022</v>
      </c>
      <c r="F150" s="18">
        <v>0.86348848182573279</v>
      </c>
      <c r="G150" s="18">
        <v>0.12681240094307619</v>
      </c>
      <c r="H150" s="18">
        <v>0.15485531217712559</v>
      </c>
      <c r="I150" s="18">
        <v>2.2742137676752573E-2</v>
      </c>
      <c r="J150" s="39">
        <f t="shared" si="1"/>
        <v>863.48848182573283</v>
      </c>
      <c r="K150" s="127"/>
      <c r="L150" s="32"/>
      <c r="M150" s="40"/>
    </row>
    <row r="151" spans="1:13" x14ac:dyDescent="0.3">
      <c r="A151" s="1" t="s">
        <v>702</v>
      </c>
      <c r="B151" s="1" t="s">
        <v>703</v>
      </c>
      <c r="C151" s="1" t="s">
        <v>704</v>
      </c>
      <c r="D151" s="1">
        <v>2024</v>
      </c>
      <c r="E151" s="1">
        <v>2022</v>
      </c>
      <c r="F151" s="18">
        <v>0.45957350891058818</v>
      </c>
      <c r="G151" s="18">
        <v>6.7493222320188118E-2</v>
      </c>
      <c r="H151" s="18">
        <v>8.1604322713235297E-2</v>
      </c>
      <c r="I151" s="18">
        <v>1.1984456432723408E-2</v>
      </c>
      <c r="J151" s="39">
        <f t="shared" si="1"/>
        <v>459.5735089105882</v>
      </c>
      <c r="K151" s="127"/>
      <c r="L151" s="32"/>
      <c r="M151" s="40"/>
    </row>
    <row r="152" spans="1:13" x14ac:dyDescent="0.3">
      <c r="A152" s="1" t="s">
        <v>705</v>
      </c>
      <c r="B152" s="1" t="s">
        <v>706</v>
      </c>
      <c r="C152" s="1" t="s">
        <v>707</v>
      </c>
      <c r="D152" s="1">
        <v>2024</v>
      </c>
      <c r="E152" s="1">
        <v>2022</v>
      </c>
      <c r="F152" s="18">
        <v>0.77089189189189189</v>
      </c>
      <c r="G152" s="18">
        <v>0.14629454207219922</v>
      </c>
      <c r="H152" s="18">
        <v>0.17002702702702702</v>
      </c>
      <c r="I152" s="18">
        <v>3.2266555557837716E-2</v>
      </c>
      <c r="J152" s="39">
        <f t="shared" ref="J152:J215" si="2">$F152*1000</f>
        <v>770.89189189189187</v>
      </c>
      <c r="K152" s="127"/>
      <c r="L152" s="32"/>
      <c r="M152" s="40"/>
    </row>
    <row r="153" spans="1:13" x14ac:dyDescent="0.3">
      <c r="A153" s="1" t="s">
        <v>708</v>
      </c>
      <c r="B153" s="1" t="s">
        <v>709</v>
      </c>
      <c r="C153" s="1" t="s">
        <v>710</v>
      </c>
      <c r="D153" s="1">
        <v>2024</v>
      </c>
      <c r="E153" s="1">
        <v>2022</v>
      </c>
      <c r="F153" s="18">
        <v>0.77384357902815293</v>
      </c>
      <c r="G153" s="18">
        <v>0.1163331639045553</v>
      </c>
      <c r="H153" s="18">
        <v>0.14074147415844235</v>
      </c>
      <c r="I153" s="18">
        <v>2.1157894728551015E-2</v>
      </c>
      <c r="J153" s="39">
        <f t="shared" si="2"/>
        <v>773.84357902815293</v>
      </c>
      <c r="K153" s="127"/>
      <c r="L153" s="32"/>
      <c r="M153" s="40"/>
    </row>
    <row r="154" spans="1:13" x14ac:dyDescent="0.3">
      <c r="A154" s="1" t="s">
        <v>711</v>
      </c>
      <c r="B154" s="1" t="s">
        <v>712</v>
      </c>
      <c r="C154" s="1" t="s">
        <v>713</v>
      </c>
      <c r="D154" s="1">
        <v>2024</v>
      </c>
      <c r="E154" s="1">
        <v>2022</v>
      </c>
      <c r="F154" s="18">
        <v>9.2649221031181769E-2</v>
      </c>
      <c r="G154" s="18">
        <v>1.3928108093092703E-2</v>
      </c>
      <c r="H154" s="18">
        <v>1.6173578311381699E-2</v>
      </c>
      <c r="I154" s="18">
        <v>2.4314003341399785E-3</v>
      </c>
      <c r="J154" s="39">
        <f t="shared" si="2"/>
        <v>92.649221031181767</v>
      </c>
      <c r="K154" s="127"/>
      <c r="L154" s="32"/>
      <c r="M154" s="40"/>
    </row>
    <row r="155" spans="1:13" x14ac:dyDescent="0.3">
      <c r="A155" s="1" t="s">
        <v>714</v>
      </c>
      <c r="B155" s="1" t="s">
        <v>715</v>
      </c>
      <c r="C155" s="1" t="s">
        <v>716</v>
      </c>
      <c r="D155" s="1">
        <v>2024</v>
      </c>
      <c r="E155" s="1">
        <v>2022</v>
      </c>
      <c r="F155" s="18">
        <v>0.3106539072448406</v>
      </c>
      <c r="G155" s="18">
        <v>3.2498872159854253E-2</v>
      </c>
      <c r="H155" s="18">
        <v>5.3916145259626819E-2</v>
      </c>
      <c r="I155" s="18">
        <v>5.640405194594072E-3</v>
      </c>
      <c r="J155" s="39">
        <f t="shared" si="2"/>
        <v>310.65390724484058</v>
      </c>
      <c r="K155" s="127"/>
      <c r="L155" s="32"/>
      <c r="M155" s="40"/>
    </row>
    <row r="156" spans="1:13" x14ac:dyDescent="0.3">
      <c r="A156" s="1" t="s">
        <v>717</v>
      </c>
      <c r="B156" s="1" t="s">
        <v>718</v>
      </c>
      <c r="C156" s="1" t="s">
        <v>719</v>
      </c>
      <c r="D156" s="1">
        <v>2024</v>
      </c>
      <c r="E156" s="1">
        <v>2022</v>
      </c>
      <c r="F156" s="18">
        <v>3.634858286023529E-2</v>
      </c>
      <c r="G156" s="18">
        <v>5.4643415829444056E-3</v>
      </c>
      <c r="H156" s="18">
        <v>6.454248185294117E-3</v>
      </c>
      <c r="I156" s="18">
        <v>9.7027762763562703E-4</v>
      </c>
      <c r="J156" s="39">
        <f t="shared" si="2"/>
        <v>36.34858286023529</v>
      </c>
      <c r="K156" s="127"/>
      <c r="L156" s="32"/>
      <c r="M156" s="40"/>
    </row>
    <row r="157" spans="1:13" x14ac:dyDescent="0.3">
      <c r="A157" s="1" t="s">
        <v>720</v>
      </c>
      <c r="B157" s="1" t="s">
        <v>721</v>
      </c>
      <c r="C157" s="1" t="s">
        <v>722</v>
      </c>
      <c r="D157" s="1">
        <v>2024</v>
      </c>
      <c r="E157" s="1">
        <v>2022</v>
      </c>
      <c r="F157" s="18">
        <v>0.77089189189189189</v>
      </c>
      <c r="G157" s="18">
        <v>5.2901343469284032E-2</v>
      </c>
      <c r="H157" s="18">
        <v>0.17002702702702702</v>
      </c>
      <c r="I157" s="18">
        <v>1.166785933335434E-2</v>
      </c>
      <c r="J157" s="39">
        <f t="shared" si="2"/>
        <v>770.89189189189187</v>
      </c>
      <c r="K157" s="127"/>
      <c r="L157" s="32"/>
      <c r="M157" s="40"/>
    </row>
    <row r="158" spans="1:13" x14ac:dyDescent="0.3">
      <c r="A158" s="1" t="s">
        <v>723</v>
      </c>
      <c r="B158" s="1" t="s">
        <v>724</v>
      </c>
      <c r="C158" s="1" t="s">
        <v>725</v>
      </c>
      <c r="D158" s="1">
        <v>2024</v>
      </c>
      <c r="E158" s="1">
        <v>2022</v>
      </c>
      <c r="F158" s="18">
        <v>0</v>
      </c>
      <c r="G158" s="18">
        <v>0</v>
      </c>
      <c r="H158" s="18">
        <v>0</v>
      </c>
      <c r="I158" s="18">
        <v>0</v>
      </c>
      <c r="J158" s="39">
        <f t="shared" si="2"/>
        <v>0</v>
      </c>
      <c r="K158" s="127"/>
      <c r="L158" s="32"/>
      <c r="M158" s="40"/>
    </row>
    <row r="159" spans="1:13" x14ac:dyDescent="0.3">
      <c r="A159" s="7" t="s">
        <v>21</v>
      </c>
      <c r="B159" s="1" t="s">
        <v>272</v>
      </c>
      <c r="C159" s="1" t="s">
        <v>726</v>
      </c>
      <c r="D159" s="1">
        <v>2024</v>
      </c>
      <c r="E159" s="1">
        <v>2022</v>
      </c>
      <c r="F159" s="18">
        <v>0.30901476249966564</v>
      </c>
      <c r="G159" s="18">
        <v>1.302826997178688E-2</v>
      </c>
      <c r="H159" s="18">
        <v>6.1947467940636471E-2</v>
      </c>
      <c r="I159" s="18">
        <v>2.6117468624176098E-3</v>
      </c>
      <c r="J159" s="39">
        <f t="shared" si="2"/>
        <v>309.01476249966566</v>
      </c>
      <c r="K159" s="127">
        <v>268</v>
      </c>
      <c r="L159" s="32">
        <v>362</v>
      </c>
      <c r="M159" s="40">
        <v>422</v>
      </c>
    </row>
    <row r="160" spans="1:13" x14ac:dyDescent="0.3">
      <c r="A160" s="7" t="s">
        <v>79</v>
      </c>
      <c r="B160" s="1" t="s">
        <v>727</v>
      </c>
      <c r="C160" s="1" t="s">
        <v>728</v>
      </c>
      <c r="D160" s="1">
        <v>2024</v>
      </c>
      <c r="E160" s="1">
        <v>2022</v>
      </c>
      <c r="F160" s="18">
        <v>0.72906065567821943</v>
      </c>
      <c r="G160" s="18">
        <v>5.003073525825024E-2</v>
      </c>
      <c r="H160" s="18">
        <v>0.14324546752750397</v>
      </c>
      <c r="I160" s="18">
        <v>9.8300134659521938E-3</v>
      </c>
      <c r="J160" s="39">
        <f t="shared" si="2"/>
        <v>729.0606556782194</v>
      </c>
      <c r="K160" s="127">
        <v>661</v>
      </c>
      <c r="L160" s="32">
        <v>637</v>
      </c>
      <c r="M160" s="40" t="s">
        <v>368</v>
      </c>
    </row>
    <row r="161" spans="1:13" x14ac:dyDescent="0.3">
      <c r="A161" s="7" t="s">
        <v>64</v>
      </c>
      <c r="B161" s="1" t="s">
        <v>729</v>
      </c>
      <c r="C161" s="1" t="s">
        <v>730</v>
      </c>
      <c r="D161" s="1">
        <v>2024</v>
      </c>
      <c r="E161" s="1">
        <v>2022</v>
      </c>
      <c r="F161" s="18">
        <v>7.9959929265590146E-2</v>
      </c>
      <c r="G161" s="18">
        <v>6.1585903603512179E-3</v>
      </c>
      <c r="H161" s="18">
        <v>1.7813284687804007E-2</v>
      </c>
      <c r="I161" s="18">
        <v>1.3719962532747249E-3</v>
      </c>
      <c r="J161" s="39">
        <f t="shared" si="2"/>
        <v>79.959929265590148</v>
      </c>
      <c r="K161" s="127">
        <v>113</v>
      </c>
      <c r="L161" s="32">
        <v>82</v>
      </c>
      <c r="M161" s="40" t="s">
        <v>368</v>
      </c>
    </row>
    <row r="162" spans="1:13" x14ac:dyDescent="0.3">
      <c r="A162" s="1" t="s">
        <v>731</v>
      </c>
      <c r="B162" s="1" t="s">
        <v>732</v>
      </c>
      <c r="C162" s="1" t="s">
        <v>733</v>
      </c>
      <c r="D162" s="1">
        <v>2024</v>
      </c>
      <c r="E162" s="1">
        <v>2022</v>
      </c>
      <c r="F162" s="18">
        <v>0.24901927522724321</v>
      </c>
      <c r="G162" s="18">
        <v>4.7257159168083936E-2</v>
      </c>
      <c r="H162" s="18">
        <v>7.6516257917189176E-2</v>
      </c>
      <c r="I162" s="18">
        <v>1.4520727265144575E-2</v>
      </c>
      <c r="J162" s="39">
        <f t="shared" si="2"/>
        <v>249.01927522724321</v>
      </c>
      <c r="K162" s="127"/>
      <c r="L162" s="32"/>
      <c r="M162" s="40"/>
    </row>
    <row r="163" spans="1:13" x14ac:dyDescent="0.3">
      <c r="A163" s="1" t="s">
        <v>734</v>
      </c>
      <c r="B163" s="1" t="s">
        <v>735</v>
      </c>
      <c r="C163" s="1" t="s">
        <v>736</v>
      </c>
      <c r="D163" s="1">
        <v>2024</v>
      </c>
      <c r="E163" s="1">
        <v>2022</v>
      </c>
      <c r="F163" s="18">
        <v>0.75832358160978697</v>
      </c>
      <c r="G163" s="18">
        <v>0.11400001744912239</v>
      </c>
      <c r="H163" s="18">
        <v>0.15383390483331205</v>
      </c>
      <c r="I163" s="18">
        <v>2.3126101126957059E-2</v>
      </c>
      <c r="J163" s="39">
        <f t="shared" si="2"/>
        <v>758.32358160978697</v>
      </c>
      <c r="K163" s="127"/>
      <c r="L163" s="32"/>
      <c r="M163" s="40"/>
    </row>
    <row r="164" spans="1:13" x14ac:dyDescent="0.3">
      <c r="A164" s="1" t="s">
        <v>737</v>
      </c>
      <c r="B164" s="1" t="s">
        <v>738</v>
      </c>
      <c r="C164" s="1" t="s">
        <v>739</v>
      </c>
      <c r="D164" s="1">
        <v>2024</v>
      </c>
      <c r="E164" s="1">
        <v>2022</v>
      </c>
      <c r="F164" s="18">
        <v>0.40033307803057605</v>
      </c>
      <c r="G164" s="18">
        <v>6.0182722768643414E-2</v>
      </c>
      <c r="H164" s="18">
        <v>6.5608551619542002E-2</v>
      </c>
      <c r="I164" s="18">
        <v>9.8630402783493054E-3</v>
      </c>
      <c r="J164" s="39">
        <f t="shared" si="2"/>
        <v>400.33307803057608</v>
      </c>
      <c r="K164" s="127"/>
      <c r="L164" s="32"/>
      <c r="M164" s="40"/>
    </row>
    <row r="165" spans="1:13" x14ac:dyDescent="0.3">
      <c r="A165" s="1" t="s">
        <v>740</v>
      </c>
      <c r="B165" s="1" t="s">
        <v>741</v>
      </c>
      <c r="C165" s="1" t="s">
        <v>742</v>
      </c>
      <c r="D165" s="1">
        <v>2024</v>
      </c>
      <c r="E165" s="1">
        <v>2022</v>
      </c>
      <c r="F165" s="18">
        <v>0.40880122212413988</v>
      </c>
      <c r="G165" s="18">
        <v>6.0036775912071072E-2</v>
      </c>
      <c r="H165" s="18">
        <v>7.3347592125553251E-2</v>
      </c>
      <c r="I165" s="18">
        <v>1.0771868364900853E-2</v>
      </c>
      <c r="J165" s="39">
        <f t="shared" si="2"/>
        <v>408.80122212413988</v>
      </c>
      <c r="K165" s="127"/>
      <c r="L165" s="32"/>
      <c r="M165" s="40"/>
    </row>
    <row r="166" spans="1:13" x14ac:dyDescent="0.3">
      <c r="A166" s="1" t="s">
        <v>743</v>
      </c>
      <c r="B166" s="1" t="s">
        <v>744</v>
      </c>
      <c r="C166" s="1" t="s">
        <v>745</v>
      </c>
      <c r="D166" s="1">
        <v>2024</v>
      </c>
      <c r="E166" s="1">
        <v>2022</v>
      </c>
      <c r="F166" s="18">
        <v>0.62751055882880213</v>
      </c>
      <c r="G166" s="18">
        <v>9.2156551311441487E-2</v>
      </c>
      <c r="H166" s="18">
        <v>0.11361006484928264</v>
      </c>
      <c r="I166" s="18">
        <v>1.6684837607068088E-2</v>
      </c>
      <c r="J166" s="39">
        <f t="shared" si="2"/>
        <v>627.51055882880212</v>
      </c>
      <c r="K166" s="127"/>
      <c r="L166" s="32"/>
      <c r="M166" s="40"/>
    </row>
    <row r="167" spans="1:13" x14ac:dyDescent="0.3">
      <c r="A167" s="7" t="s">
        <v>36</v>
      </c>
      <c r="B167" s="1" t="s">
        <v>280</v>
      </c>
      <c r="C167" s="1" t="s">
        <v>746</v>
      </c>
      <c r="D167" s="1">
        <v>2024</v>
      </c>
      <c r="E167" s="1">
        <v>2022</v>
      </c>
      <c r="F167" s="18">
        <v>8.4354655537173251E-3</v>
      </c>
      <c r="G167" s="18">
        <v>8.730583882127262E-4</v>
      </c>
      <c r="H167" s="18">
        <v>1.7846782722029588E-3</v>
      </c>
      <c r="I167" s="18">
        <v>1.8471159960118088E-4</v>
      </c>
      <c r="J167" s="39">
        <f t="shared" si="2"/>
        <v>8.4354655537173251</v>
      </c>
      <c r="K167" s="127">
        <v>30</v>
      </c>
      <c r="L167" s="32">
        <f>(45+28+25+26+28)/5</f>
        <v>30.4</v>
      </c>
      <c r="M167" s="40" t="s">
        <v>368</v>
      </c>
    </row>
    <row r="168" spans="1:13" x14ac:dyDescent="0.3">
      <c r="A168" s="1" t="s">
        <v>747</v>
      </c>
      <c r="B168" s="1" t="s">
        <v>748</v>
      </c>
      <c r="C168" s="1" t="s">
        <v>749</v>
      </c>
      <c r="D168" s="1">
        <v>2024</v>
      </c>
      <c r="E168" s="1">
        <v>2022</v>
      </c>
      <c r="F168" s="18">
        <v>0.51697135836448649</v>
      </c>
      <c r="G168" s="18">
        <v>8.2003418544663267E-2</v>
      </c>
      <c r="H168" s="18">
        <v>8.619911254187837E-2</v>
      </c>
      <c r="I168" s="18">
        <v>1.3673140280561751E-2</v>
      </c>
      <c r="J168" s="39">
        <f t="shared" si="2"/>
        <v>516.97135836448649</v>
      </c>
      <c r="K168" s="127"/>
      <c r="L168" s="32"/>
      <c r="M168" s="40"/>
    </row>
    <row r="169" spans="1:13" x14ac:dyDescent="0.3">
      <c r="A169" s="1" t="s">
        <v>750</v>
      </c>
      <c r="B169" s="1" t="s">
        <v>751</v>
      </c>
      <c r="C169" s="1" t="s">
        <v>752</v>
      </c>
      <c r="D169" s="1">
        <v>2024</v>
      </c>
      <c r="E169" s="1">
        <v>2022</v>
      </c>
      <c r="F169" s="18">
        <v>0.43234126544515922</v>
      </c>
      <c r="G169" s="18">
        <v>9.2180343827707525E-2</v>
      </c>
      <c r="H169" s="18">
        <v>7.9248226940657224E-2</v>
      </c>
      <c r="I169" s="18">
        <v>1.689667258480235E-2</v>
      </c>
      <c r="J169" s="39">
        <f t="shared" si="2"/>
        <v>432.34126544515919</v>
      </c>
      <c r="K169" s="127"/>
      <c r="L169" s="32"/>
      <c r="M169" s="40"/>
    </row>
    <row r="170" spans="1:13" x14ac:dyDescent="0.3">
      <c r="A170" s="1" t="s">
        <v>753</v>
      </c>
      <c r="B170" s="1" t="s">
        <v>754</v>
      </c>
      <c r="C170" s="1" t="s">
        <v>755</v>
      </c>
      <c r="D170" s="1">
        <v>2024</v>
      </c>
      <c r="E170" s="1">
        <v>2022</v>
      </c>
      <c r="F170" s="18">
        <v>0.59681956899459454</v>
      </c>
      <c r="G170" s="18">
        <v>9.4669161298881158E-2</v>
      </c>
      <c r="H170" s="18">
        <v>0.13163383615135132</v>
      </c>
      <c r="I170" s="18">
        <v>2.0880121085834636E-2</v>
      </c>
      <c r="J170" s="39">
        <f t="shared" si="2"/>
        <v>596.81956899459453</v>
      </c>
      <c r="K170" s="127"/>
      <c r="L170" s="32"/>
      <c r="M170" s="40"/>
    </row>
    <row r="171" spans="1:13" x14ac:dyDescent="0.3">
      <c r="A171" s="1" t="s">
        <v>756</v>
      </c>
      <c r="B171" s="1" t="s">
        <v>757</v>
      </c>
      <c r="C171" s="1" t="s">
        <v>758</v>
      </c>
      <c r="D171" s="1">
        <v>2024</v>
      </c>
      <c r="E171" s="1">
        <v>2022</v>
      </c>
      <c r="F171" s="18">
        <v>0.14221878802135168</v>
      </c>
      <c r="G171" s="18">
        <v>2.6989299908948293E-2</v>
      </c>
      <c r="H171" s="18">
        <v>2.6008640029417961E-2</v>
      </c>
      <c r="I171" s="18">
        <v>4.9357401771167727E-3</v>
      </c>
      <c r="J171" s="39">
        <f t="shared" si="2"/>
        <v>142.21878802135168</v>
      </c>
      <c r="K171" s="127"/>
      <c r="L171" s="32"/>
      <c r="M171" s="40"/>
    </row>
    <row r="172" spans="1:13" x14ac:dyDescent="0.3">
      <c r="A172" s="1" t="s">
        <v>759</v>
      </c>
      <c r="B172" s="1" t="s">
        <v>760</v>
      </c>
      <c r="C172" s="1" t="s">
        <v>761</v>
      </c>
      <c r="D172" s="1">
        <v>2024</v>
      </c>
      <c r="E172" s="1">
        <v>2022</v>
      </c>
      <c r="F172" s="18">
        <v>0.52887174332607378</v>
      </c>
      <c r="G172" s="18">
        <v>3.6293060076464302E-2</v>
      </c>
      <c r="H172" s="18">
        <v>0.11138451788767581</v>
      </c>
      <c r="I172" s="18">
        <v>7.6436017811468753E-3</v>
      </c>
      <c r="J172" s="39">
        <f t="shared" si="2"/>
        <v>528.87174332607378</v>
      </c>
      <c r="K172" s="127"/>
      <c r="L172" s="32"/>
      <c r="M172" s="40"/>
    </row>
    <row r="173" spans="1:13" x14ac:dyDescent="0.3">
      <c r="A173" s="1" t="s">
        <v>762</v>
      </c>
      <c r="B173" s="1" t="s">
        <v>763</v>
      </c>
      <c r="C173" s="1" t="s">
        <v>764</v>
      </c>
      <c r="D173" s="1">
        <v>2024</v>
      </c>
      <c r="E173" s="1">
        <v>2022</v>
      </c>
      <c r="F173" s="18">
        <v>1.0288571408000002E-4</v>
      </c>
      <c r="G173" s="18">
        <v>1.9524940637481275E-5</v>
      </c>
      <c r="H173" s="18">
        <v>3.4028631936000001E-4</v>
      </c>
      <c r="I173" s="18">
        <v>6.457718882219955E-5</v>
      </c>
      <c r="J173" s="39">
        <f t="shared" si="2"/>
        <v>0.10288571408000002</v>
      </c>
      <c r="K173" s="127"/>
      <c r="L173" s="32"/>
      <c r="M173" s="40"/>
    </row>
    <row r="174" spans="1:13" x14ac:dyDescent="0.3">
      <c r="A174" s="1" t="s">
        <v>765</v>
      </c>
      <c r="B174" s="1" t="s">
        <v>766</v>
      </c>
      <c r="C174" s="1" t="s">
        <v>767</v>
      </c>
      <c r="D174" s="1">
        <v>2024</v>
      </c>
      <c r="E174" s="1">
        <v>2022</v>
      </c>
      <c r="F174" s="18">
        <v>0.20066094352460426</v>
      </c>
      <c r="G174" s="18">
        <v>3.8080048776572388E-2</v>
      </c>
      <c r="H174" s="18">
        <v>3.4232541726299345E-2</v>
      </c>
      <c r="I174" s="18">
        <v>6.4964154747118941E-3</v>
      </c>
      <c r="J174" s="39">
        <f t="shared" si="2"/>
        <v>200.66094352460425</v>
      </c>
      <c r="K174" s="127"/>
      <c r="L174" s="32"/>
      <c r="M174" s="40"/>
    </row>
    <row r="175" spans="1:13" x14ac:dyDescent="0.3">
      <c r="A175" s="1" t="s">
        <v>768</v>
      </c>
      <c r="B175" s="1" t="s">
        <v>769</v>
      </c>
      <c r="C175" s="1" t="s">
        <v>770</v>
      </c>
      <c r="D175" s="1">
        <v>2024</v>
      </c>
      <c r="E175" s="1">
        <v>2022</v>
      </c>
      <c r="F175" s="18">
        <v>0.6824646048862375</v>
      </c>
      <c r="G175" s="18">
        <v>9.6362943848965751E-2</v>
      </c>
      <c r="H175" s="18">
        <v>0.12169632647030068</v>
      </c>
      <c r="I175" s="18">
        <v>1.7183332571859618E-2</v>
      </c>
      <c r="J175" s="39">
        <f t="shared" si="2"/>
        <v>682.46460488623745</v>
      </c>
      <c r="K175" s="127"/>
      <c r="L175" s="32"/>
      <c r="M175" s="40"/>
    </row>
    <row r="176" spans="1:13" x14ac:dyDescent="0.3">
      <c r="A176" s="7" t="s">
        <v>40</v>
      </c>
      <c r="B176" s="1" t="s">
        <v>258</v>
      </c>
      <c r="C176" s="1" t="s">
        <v>771</v>
      </c>
      <c r="D176" s="1">
        <v>2024</v>
      </c>
      <c r="E176" s="1">
        <v>2022</v>
      </c>
      <c r="F176" s="18">
        <v>0.70794004155544188</v>
      </c>
      <c r="G176" s="18">
        <v>6.282392729837033E-2</v>
      </c>
      <c r="H176" s="18">
        <v>0.13039761320636428</v>
      </c>
      <c r="I176" s="18">
        <v>1.157172880623971E-2</v>
      </c>
      <c r="J176" s="39">
        <f t="shared" si="2"/>
        <v>707.94004155544189</v>
      </c>
      <c r="K176" s="127">
        <v>662</v>
      </c>
      <c r="L176" s="32">
        <v>727</v>
      </c>
      <c r="M176" s="40">
        <v>835</v>
      </c>
    </row>
    <row r="177" spans="1:13" x14ac:dyDescent="0.3">
      <c r="A177" s="7" t="s">
        <v>53</v>
      </c>
      <c r="B177" s="1" t="s">
        <v>772</v>
      </c>
      <c r="C177" s="1" t="s">
        <v>773</v>
      </c>
      <c r="D177" s="1">
        <v>2024</v>
      </c>
      <c r="E177" s="1">
        <v>2022</v>
      </c>
      <c r="F177" s="18">
        <v>0.16638634496868449</v>
      </c>
      <c r="G177" s="18">
        <v>1.6938201719779063E-2</v>
      </c>
      <c r="H177" s="18">
        <v>3.7482646381120019E-2</v>
      </c>
      <c r="I177" s="18">
        <v>3.8157495767699554E-3</v>
      </c>
      <c r="J177" s="39">
        <f t="shared" si="2"/>
        <v>166.38634496868448</v>
      </c>
      <c r="K177" s="127">
        <v>166</v>
      </c>
      <c r="L177" s="32">
        <v>111</v>
      </c>
      <c r="M177" s="40">
        <v>338</v>
      </c>
    </row>
    <row r="178" spans="1:13" x14ac:dyDescent="0.3">
      <c r="A178" s="1" t="s">
        <v>774</v>
      </c>
      <c r="B178" s="1" t="s">
        <v>775</v>
      </c>
      <c r="C178" s="1" t="s">
        <v>776</v>
      </c>
      <c r="D178" s="1">
        <v>2024</v>
      </c>
      <c r="E178" s="1">
        <v>2022</v>
      </c>
      <c r="F178" s="18">
        <v>0.71378607591761367</v>
      </c>
      <c r="G178" s="18">
        <v>0.13545739449614469</v>
      </c>
      <c r="H178" s="18">
        <v>0.1423161561398234</v>
      </c>
      <c r="I178" s="18">
        <v>2.7007777758377084E-2</v>
      </c>
      <c r="J178" s="39">
        <f t="shared" si="2"/>
        <v>713.78607591761363</v>
      </c>
      <c r="K178" s="127"/>
      <c r="L178" s="32"/>
      <c r="M178" s="40"/>
    </row>
    <row r="179" spans="1:13" x14ac:dyDescent="0.3">
      <c r="A179" s="1" t="s">
        <v>777</v>
      </c>
      <c r="B179" s="1" t="s">
        <v>778</v>
      </c>
      <c r="C179" s="1" t="s">
        <v>779</v>
      </c>
      <c r="D179" s="1">
        <v>2024</v>
      </c>
      <c r="E179" s="1">
        <v>2022</v>
      </c>
      <c r="F179" s="18">
        <v>0.50966564708421724</v>
      </c>
      <c r="G179" s="18">
        <v>8.0844566530544518E-2</v>
      </c>
      <c r="H179" s="18">
        <v>8.3719861924548583E-2</v>
      </c>
      <c r="I179" s="18">
        <v>1.327987472965541E-2</v>
      </c>
      <c r="J179" s="39">
        <f t="shared" si="2"/>
        <v>509.66564708421726</v>
      </c>
      <c r="K179" s="127"/>
      <c r="L179" s="32"/>
      <c r="M179" s="40"/>
    </row>
    <row r="180" spans="1:13" x14ac:dyDescent="0.3">
      <c r="A180" s="1" t="s">
        <v>780</v>
      </c>
      <c r="B180" s="1" t="s">
        <v>781</v>
      </c>
      <c r="C180" s="1" t="s">
        <v>782</v>
      </c>
      <c r="D180" s="1">
        <v>2023</v>
      </c>
      <c r="E180" s="1">
        <v>2021</v>
      </c>
      <c r="F180" s="18">
        <v>0.61993361337177921</v>
      </c>
      <c r="G180" s="18">
        <v>9.31956284303532E-2</v>
      </c>
      <c r="H180" s="18">
        <v>0.13173922171926106</v>
      </c>
      <c r="I180" s="18">
        <v>1.9804571477057886E-2</v>
      </c>
      <c r="J180" s="39">
        <f t="shared" si="2"/>
        <v>619.93361337177919</v>
      </c>
      <c r="K180" s="127"/>
      <c r="L180" s="32"/>
      <c r="M180" s="40"/>
    </row>
    <row r="181" spans="1:13" x14ac:dyDescent="0.3">
      <c r="A181" s="7" t="s">
        <v>59</v>
      </c>
      <c r="B181" s="1" t="s">
        <v>783</v>
      </c>
      <c r="C181" s="1" t="s">
        <v>784</v>
      </c>
      <c r="D181" s="1">
        <v>2024</v>
      </c>
      <c r="E181" s="1">
        <v>2022</v>
      </c>
      <c r="F181" s="18">
        <v>0.27819936009512808</v>
      </c>
      <c r="G181" s="18">
        <v>4.6349233540482447E-2</v>
      </c>
      <c r="H181" s="18">
        <v>4.9597021906838554E-2</v>
      </c>
      <c r="I181" s="18">
        <v>8.2630813761988275E-3</v>
      </c>
      <c r="J181" s="39">
        <f t="shared" si="2"/>
        <v>278.1993600951281</v>
      </c>
      <c r="K181" s="127">
        <v>241</v>
      </c>
      <c r="L181" s="32">
        <v>378</v>
      </c>
      <c r="M181" s="40">
        <v>449</v>
      </c>
    </row>
    <row r="182" spans="1:13" x14ac:dyDescent="0.3">
      <c r="A182" s="7" t="s">
        <v>34</v>
      </c>
      <c r="B182" s="1" t="s">
        <v>277</v>
      </c>
      <c r="C182" s="1" t="s">
        <v>785</v>
      </c>
      <c r="D182" s="1">
        <v>2024</v>
      </c>
      <c r="E182" s="1">
        <v>2022</v>
      </c>
      <c r="F182" s="18">
        <v>0.46407824009505544</v>
      </c>
      <c r="G182" s="18">
        <v>6.6874642130099804E-2</v>
      </c>
      <c r="H182" s="18">
        <v>7.8940823971402133E-2</v>
      </c>
      <c r="I182" s="18">
        <v>1.1375537347886457E-2</v>
      </c>
      <c r="J182" s="39">
        <f t="shared" si="2"/>
        <v>464.07824009505543</v>
      </c>
      <c r="K182" s="127">
        <v>441</v>
      </c>
      <c r="L182" s="32">
        <f>(459+485+377)/3</f>
        <v>440.33333333333331</v>
      </c>
      <c r="M182" s="40">
        <v>567</v>
      </c>
    </row>
    <row r="183" spans="1:13" x14ac:dyDescent="0.3">
      <c r="A183" s="1" t="s">
        <v>786</v>
      </c>
      <c r="B183" s="1" t="s">
        <v>787</v>
      </c>
      <c r="C183" s="1" t="s">
        <v>788</v>
      </c>
      <c r="D183" s="1">
        <v>2024</v>
      </c>
      <c r="E183" s="1">
        <v>2022</v>
      </c>
      <c r="F183" s="18">
        <v>0.30107478417141492</v>
      </c>
      <c r="G183" s="18">
        <v>4.5261062007555392E-2</v>
      </c>
      <c r="H183" s="18">
        <v>5.7142407121322736E-2</v>
      </c>
      <c r="I183" s="18">
        <v>8.5903110056093426E-3</v>
      </c>
      <c r="J183" s="39">
        <f t="shared" si="2"/>
        <v>301.07478417141493</v>
      </c>
      <c r="K183" s="127"/>
      <c r="L183" s="32"/>
      <c r="M183" s="40"/>
    </row>
    <row r="184" spans="1:13" x14ac:dyDescent="0.3">
      <c r="A184" s="1" t="s">
        <v>789</v>
      </c>
      <c r="B184" s="1" t="s">
        <v>790</v>
      </c>
      <c r="C184" s="1" t="s">
        <v>791</v>
      </c>
      <c r="D184" s="1">
        <v>2024</v>
      </c>
      <c r="E184" s="1">
        <v>2022</v>
      </c>
      <c r="F184" s="18">
        <v>0.77089189189189189</v>
      </c>
      <c r="G184" s="18">
        <v>9.3131133580153388E-2</v>
      </c>
      <c r="H184" s="18">
        <v>0.17002702702702702</v>
      </c>
      <c r="I184" s="18">
        <v>2.0540895465159519E-2</v>
      </c>
      <c r="J184" s="39">
        <f t="shared" si="2"/>
        <v>770.89189189189187</v>
      </c>
      <c r="K184" s="127"/>
      <c r="L184" s="32"/>
      <c r="M184" s="40"/>
    </row>
    <row r="185" spans="1:13" x14ac:dyDescent="0.3">
      <c r="A185" s="1" t="s">
        <v>792</v>
      </c>
      <c r="B185" s="1" t="s">
        <v>793</v>
      </c>
      <c r="C185" s="1" t="s">
        <v>794</v>
      </c>
      <c r="D185" s="1">
        <v>2024</v>
      </c>
      <c r="E185" s="1">
        <v>2022</v>
      </c>
      <c r="F185" s="18">
        <v>0.73585134013837827</v>
      </c>
      <c r="G185" s="18">
        <v>0.13964478803190589</v>
      </c>
      <c r="H185" s="18">
        <v>0.1622985233254054</v>
      </c>
      <c r="I185" s="18">
        <v>3.0799893472240651E-2</v>
      </c>
      <c r="J185" s="39">
        <f t="shared" si="2"/>
        <v>735.8513401383783</v>
      </c>
      <c r="K185" s="127"/>
      <c r="L185" s="32"/>
      <c r="M185" s="40"/>
    </row>
    <row r="186" spans="1:13" x14ac:dyDescent="0.3">
      <c r="A186" s="1" t="s">
        <v>795</v>
      </c>
      <c r="B186" s="1" t="s">
        <v>796</v>
      </c>
      <c r="C186" s="1" t="s">
        <v>797</v>
      </c>
      <c r="D186" s="1">
        <v>2024</v>
      </c>
      <c r="E186" s="1">
        <v>2022</v>
      </c>
      <c r="F186" s="18">
        <v>0.77089189189189189</v>
      </c>
      <c r="G186" s="18">
        <v>0.14629454207219922</v>
      </c>
      <c r="H186" s="18">
        <v>0.17002702702702702</v>
      </c>
      <c r="I186" s="18">
        <v>3.2266555557837716E-2</v>
      </c>
      <c r="J186" s="39">
        <f t="shared" si="2"/>
        <v>770.89189189189187</v>
      </c>
      <c r="K186" s="127"/>
      <c r="L186" s="32"/>
      <c r="M186" s="40"/>
    </row>
    <row r="187" spans="1:13" x14ac:dyDescent="0.3">
      <c r="A187" s="1" t="s">
        <v>798</v>
      </c>
      <c r="B187" s="1" t="s">
        <v>799</v>
      </c>
      <c r="C187" s="1" t="s">
        <v>800</v>
      </c>
      <c r="D187" s="1">
        <v>2024</v>
      </c>
      <c r="E187" s="1">
        <v>2022</v>
      </c>
      <c r="F187" s="18">
        <v>0.77089189189189189</v>
      </c>
      <c r="G187" s="18">
        <v>0.14629454207219922</v>
      </c>
      <c r="H187" s="18">
        <v>0.17002702702702702</v>
      </c>
      <c r="I187" s="18">
        <v>3.2266555557837716E-2</v>
      </c>
      <c r="J187" s="39">
        <f t="shared" si="2"/>
        <v>770.89189189189187</v>
      </c>
      <c r="K187" s="127"/>
      <c r="L187" s="32"/>
      <c r="M187" s="40"/>
    </row>
    <row r="188" spans="1:13" x14ac:dyDescent="0.3">
      <c r="A188" s="1" t="s">
        <v>801</v>
      </c>
      <c r="B188" s="1" t="s">
        <v>802</v>
      </c>
      <c r="C188" s="1" t="s">
        <v>803</v>
      </c>
      <c r="D188" s="1">
        <v>2024</v>
      </c>
      <c r="E188" s="1">
        <v>2022</v>
      </c>
      <c r="F188" s="18">
        <v>0.58950557799189196</v>
      </c>
      <c r="G188" s="18">
        <v>0.11187229946040898</v>
      </c>
      <c r="H188" s="18">
        <v>0.13002067072702703</v>
      </c>
      <c r="I188" s="18">
        <v>2.4674425407756294E-2</v>
      </c>
      <c r="J188" s="39">
        <f t="shared" si="2"/>
        <v>589.50557799189198</v>
      </c>
      <c r="K188" s="127"/>
      <c r="L188" s="32"/>
      <c r="M188" s="40"/>
    </row>
    <row r="189" spans="1:13" x14ac:dyDescent="0.3">
      <c r="A189" s="1" t="s">
        <v>804</v>
      </c>
      <c r="B189" s="1" t="s">
        <v>805</v>
      </c>
      <c r="C189" s="1" t="s">
        <v>806</v>
      </c>
      <c r="D189" s="1">
        <v>2024</v>
      </c>
      <c r="E189" s="1">
        <v>2022</v>
      </c>
      <c r="F189" s="18">
        <v>0.52745232679729726</v>
      </c>
      <c r="G189" s="18">
        <v>3.8041751727079624E-2</v>
      </c>
      <c r="H189" s="18">
        <v>0.11633427717567565</v>
      </c>
      <c r="I189" s="18">
        <v>8.3904449081463345E-3</v>
      </c>
      <c r="J189" s="39">
        <f t="shared" si="2"/>
        <v>527.45232679729725</v>
      </c>
      <c r="K189" s="127"/>
      <c r="L189" s="32"/>
      <c r="M189" s="40"/>
    </row>
    <row r="190" spans="1:13" x14ac:dyDescent="0.3">
      <c r="A190" s="1" t="s">
        <v>807</v>
      </c>
      <c r="B190" s="1" t="s">
        <v>808</v>
      </c>
      <c r="C190" s="1" t="s">
        <v>809</v>
      </c>
      <c r="D190" s="1">
        <v>2024</v>
      </c>
      <c r="E190" s="1">
        <v>2022</v>
      </c>
      <c r="F190" s="18">
        <v>0.71582816330270271</v>
      </c>
      <c r="G190" s="18">
        <v>0.10761161209552467</v>
      </c>
      <c r="H190" s="18">
        <v>0.15788223452432432</v>
      </c>
      <c r="I190" s="18">
        <v>2.3734693114081468E-2</v>
      </c>
      <c r="J190" s="39">
        <f t="shared" si="2"/>
        <v>715.82816330270271</v>
      </c>
      <c r="K190" s="127"/>
      <c r="L190" s="32"/>
      <c r="M190" s="40"/>
    </row>
    <row r="191" spans="1:13" x14ac:dyDescent="0.3">
      <c r="A191" s="1" t="s">
        <v>810</v>
      </c>
      <c r="B191" s="1" t="s">
        <v>811</v>
      </c>
      <c r="C191" s="1" t="s">
        <v>812</v>
      </c>
      <c r="D191" s="1">
        <v>2024</v>
      </c>
      <c r="E191" s="1">
        <v>2022</v>
      </c>
      <c r="F191" s="18">
        <v>0.59495469021567571</v>
      </c>
      <c r="G191" s="18">
        <v>6.1373740970676598E-2</v>
      </c>
      <c r="H191" s="18">
        <v>0.11175001145058108</v>
      </c>
      <c r="I191" s="18">
        <v>1.1527795929723391E-2</v>
      </c>
      <c r="J191" s="39">
        <f t="shared" si="2"/>
        <v>594.95469021567567</v>
      </c>
      <c r="K191" s="127"/>
      <c r="L191" s="32"/>
      <c r="M191" s="40"/>
    </row>
    <row r="192" spans="1:13" x14ac:dyDescent="0.3">
      <c r="A192" s="1" t="s">
        <v>813</v>
      </c>
      <c r="B192" s="1" t="s">
        <v>814</v>
      </c>
      <c r="C192" s="1" t="s">
        <v>815</v>
      </c>
      <c r="D192" s="1">
        <v>2024</v>
      </c>
      <c r="E192" s="1">
        <v>2022</v>
      </c>
      <c r="F192" s="18">
        <v>0.58441266253012125</v>
      </c>
      <c r="G192" s="18">
        <v>8.7855706114918553E-2</v>
      </c>
      <c r="H192" s="18">
        <v>0.12764479494245035</v>
      </c>
      <c r="I192" s="18">
        <v>1.918904964004773E-2</v>
      </c>
      <c r="J192" s="39">
        <f t="shared" si="2"/>
        <v>584.41266253012122</v>
      </c>
      <c r="K192" s="127"/>
      <c r="L192" s="32"/>
      <c r="M192" s="40"/>
    </row>
    <row r="193" spans="1:13" x14ac:dyDescent="0.3">
      <c r="A193" s="1" t="s">
        <v>816</v>
      </c>
      <c r="B193" s="1" t="s">
        <v>817</v>
      </c>
      <c r="C193" s="1" t="s">
        <v>818</v>
      </c>
      <c r="D193" s="1">
        <v>2024</v>
      </c>
      <c r="E193" s="1">
        <v>2022</v>
      </c>
      <c r="F193" s="18">
        <v>0.67046100516626883</v>
      </c>
      <c r="G193" s="18">
        <v>9.8464277860514482E-2</v>
      </c>
      <c r="H193" s="18">
        <v>0.11934669676264327</v>
      </c>
      <c r="I193" s="18">
        <v>1.7527322575393064E-2</v>
      </c>
      <c r="J193" s="39">
        <f t="shared" si="2"/>
        <v>670.46100516626882</v>
      </c>
      <c r="K193" s="127"/>
      <c r="L193" s="32"/>
      <c r="M193" s="40"/>
    </row>
    <row r="194" spans="1:13" x14ac:dyDescent="0.3">
      <c r="A194" s="7" t="s">
        <v>42</v>
      </c>
      <c r="B194" s="1" t="s">
        <v>819</v>
      </c>
      <c r="C194" s="1" t="s">
        <v>820</v>
      </c>
      <c r="D194" s="1">
        <v>2024</v>
      </c>
      <c r="E194" s="1">
        <v>2022</v>
      </c>
      <c r="F194" s="18">
        <v>0.65898817645189178</v>
      </c>
      <c r="G194" s="18">
        <v>9.9066764421072886E-2</v>
      </c>
      <c r="H194" s="18">
        <v>0.14534567254702702</v>
      </c>
      <c r="I194" s="18">
        <v>2.1850051361111018E-2</v>
      </c>
      <c r="J194" s="39">
        <f t="shared" si="2"/>
        <v>658.98817645189183</v>
      </c>
      <c r="K194" s="127">
        <v>565</v>
      </c>
      <c r="L194" s="32" t="s">
        <v>368</v>
      </c>
      <c r="M194" s="40" t="s">
        <v>368</v>
      </c>
    </row>
    <row r="195" spans="1:13" x14ac:dyDescent="0.3">
      <c r="A195" s="1" t="s">
        <v>821</v>
      </c>
      <c r="B195" s="1" t="s">
        <v>822</v>
      </c>
      <c r="C195" s="1" t="s">
        <v>823</v>
      </c>
      <c r="D195" s="1">
        <v>2024</v>
      </c>
      <c r="E195" s="1">
        <v>2022</v>
      </c>
      <c r="F195" s="18">
        <v>3.854459459459459E-2</v>
      </c>
      <c r="G195" s="18">
        <v>5.7944715988196846E-3</v>
      </c>
      <c r="H195" s="18">
        <v>8.5013513513513498E-3</v>
      </c>
      <c r="I195" s="18">
        <v>1.2780219762358318E-3</v>
      </c>
      <c r="J195" s="39">
        <f t="shared" si="2"/>
        <v>38.544594594594592</v>
      </c>
      <c r="K195" s="127"/>
      <c r="L195" s="32"/>
      <c r="M195" s="40"/>
    </row>
    <row r="196" spans="1:13" x14ac:dyDescent="0.3">
      <c r="A196" s="7" t="s">
        <v>24</v>
      </c>
      <c r="B196" s="1" t="s">
        <v>271</v>
      </c>
      <c r="C196" s="1" t="s">
        <v>824</v>
      </c>
      <c r="D196" s="1">
        <v>2024</v>
      </c>
      <c r="E196" s="1">
        <v>2022</v>
      </c>
      <c r="F196" s="18">
        <v>0.50249392202917231</v>
      </c>
      <c r="G196" s="18">
        <v>8.5456796480510595E-3</v>
      </c>
      <c r="H196" s="18">
        <v>8.6521925422753124E-2</v>
      </c>
      <c r="I196" s="18">
        <v>1.4714380110501866E-3</v>
      </c>
      <c r="J196" s="39">
        <f t="shared" si="2"/>
        <v>502.49392202917232</v>
      </c>
      <c r="K196" s="127">
        <v>471</v>
      </c>
      <c r="L196" s="32">
        <v>487</v>
      </c>
      <c r="M196" s="40">
        <v>493</v>
      </c>
    </row>
    <row r="197" spans="1:13" x14ac:dyDescent="0.3">
      <c r="A197" s="7" t="s">
        <v>825</v>
      </c>
      <c r="B197" s="1" t="s">
        <v>826</v>
      </c>
      <c r="C197" s="1" t="s">
        <v>827</v>
      </c>
      <c r="D197" s="1">
        <v>2024</v>
      </c>
      <c r="E197" s="1">
        <v>2022</v>
      </c>
      <c r="F197" s="18">
        <v>0.16638295431073086</v>
      </c>
      <c r="G197" s="18">
        <v>8.8535755826049615E-3</v>
      </c>
      <c r="H197" s="18">
        <v>3.6758134106875777E-2</v>
      </c>
      <c r="I197" s="18">
        <v>1.955975117396775E-3</v>
      </c>
      <c r="J197" s="39">
        <f t="shared" si="2"/>
        <v>166.38295431073087</v>
      </c>
      <c r="K197" s="127">
        <v>117</v>
      </c>
      <c r="L197" s="32">
        <v>340</v>
      </c>
      <c r="M197" s="40">
        <v>348</v>
      </c>
    </row>
    <row r="198" spans="1:13" x14ac:dyDescent="0.3">
      <c r="A198" s="7" t="s">
        <v>49</v>
      </c>
      <c r="B198" s="1" t="s">
        <v>828</v>
      </c>
      <c r="C198" s="1" t="s">
        <v>829</v>
      </c>
      <c r="D198" s="1">
        <v>2024</v>
      </c>
      <c r="E198" s="1">
        <v>2022</v>
      </c>
      <c r="F198" s="18">
        <v>0.25275984485671865</v>
      </c>
      <c r="G198" s="18">
        <v>1.762452311850652E-2</v>
      </c>
      <c r="H198" s="18">
        <v>4.6741278617730406E-2</v>
      </c>
      <c r="I198" s="18">
        <v>3.2591915304178371E-3</v>
      </c>
      <c r="J198" s="39">
        <f t="shared" si="2"/>
        <v>252.75984485671864</v>
      </c>
      <c r="K198" s="127">
        <v>231</v>
      </c>
      <c r="L198" s="32">
        <v>284</v>
      </c>
      <c r="M198" s="40">
        <v>313</v>
      </c>
    </row>
    <row r="199" spans="1:13" x14ac:dyDescent="0.3">
      <c r="A199" s="1" t="s">
        <v>830</v>
      </c>
      <c r="B199" s="1" t="s">
        <v>831</v>
      </c>
      <c r="C199" s="1" t="s">
        <v>832</v>
      </c>
      <c r="D199" s="1">
        <v>2024</v>
      </c>
      <c r="E199" s="1">
        <v>2022</v>
      </c>
      <c r="F199" s="18">
        <v>0.77089189189189189</v>
      </c>
      <c r="G199" s="18">
        <v>0.14629454207219922</v>
      </c>
      <c r="H199" s="18">
        <v>0.17002702702702702</v>
      </c>
      <c r="I199" s="18">
        <v>3.2266555557837716E-2</v>
      </c>
      <c r="J199" s="39">
        <f t="shared" si="2"/>
        <v>770.89189189189187</v>
      </c>
      <c r="K199" s="127"/>
      <c r="L199" s="32"/>
      <c r="M199" s="40"/>
    </row>
    <row r="200" spans="1:13" x14ac:dyDescent="0.3">
      <c r="A200" s="1" t="s">
        <v>833</v>
      </c>
      <c r="B200" s="1" t="s">
        <v>834</v>
      </c>
      <c r="C200" s="1" t="s">
        <v>835</v>
      </c>
      <c r="D200" s="1">
        <v>2024</v>
      </c>
      <c r="E200" s="1">
        <v>2022</v>
      </c>
      <c r="F200" s="18">
        <v>0.68974542158648644</v>
      </c>
      <c r="G200" s="18">
        <v>0.10369055110931936</v>
      </c>
      <c r="H200" s="18">
        <v>0.15212945507837838</v>
      </c>
      <c r="I200" s="18">
        <v>2.2869868422982442E-2</v>
      </c>
      <c r="J200" s="39">
        <f t="shared" si="2"/>
        <v>689.74542158648649</v>
      </c>
      <c r="K200" s="127"/>
      <c r="L200" s="32"/>
      <c r="M200" s="40"/>
    </row>
    <row r="201" spans="1:13" x14ac:dyDescent="0.3">
      <c r="A201" s="7" t="s">
        <v>51</v>
      </c>
      <c r="B201" s="1" t="s">
        <v>836</v>
      </c>
      <c r="C201" s="1" t="s">
        <v>837</v>
      </c>
      <c r="D201" s="1">
        <v>2024</v>
      </c>
      <c r="E201" s="1">
        <v>2022</v>
      </c>
      <c r="F201" s="18">
        <v>0.77346670594811007</v>
      </c>
      <c r="G201" s="18">
        <v>8.7715137588973563E-2</v>
      </c>
      <c r="H201" s="18">
        <v>0.13803416462856696</v>
      </c>
      <c r="I201" s="18">
        <v>1.5653790459580628E-2</v>
      </c>
      <c r="J201" s="39">
        <f t="shared" si="2"/>
        <v>773.46670594811008</v>
      </c>
      <c r="K201" s="127">
        <v>708</v>
      </c>
      <c r="L201" s="32">
        <v>672</v>
      </c>
      <c r="M201" s="40">
        <v>1097</v>
      </c>
    </row>
    <row r="202" spans="1:13" x14ac:dyDescent="0.3">
      <c r="A202" s="7" t="s">
        <v>28</v>
      </c>
      <c r="B202" s="1" t="s">
        <v>281</v>
      </c>
      <c r="C202" s="1" t="s">
        <v>838</v>
      </c>
      <c r="D202" s="1">
        <v>2024</v>
      </c>
      <c r="E202" s="1">
        <v>2022</v>
      </c>
      <c r="F202" s="18">
        <v>0.48755105236970064</v>
      </c>
      <c r="G202" s="18">
        <v>1.7511302136468596E-2</v>
      </c>
      <c r="H202" s="18">
        <v>8.7781160439073566E-2</v>
      </c>
      <c r="I202" s="18">
        <v>3.1528235143113603E-3</v>
      </c>
      <c r="J202" s="39">
        <f t="shared" si="2"/>
        <v>487.55105236970064</v>
      </c>
      <c r="K202" s="127">
        <v>431</v>
      </c>
      <c r="L202" s="32">
        <v>400</v>
      </c>
      <c r="M202" s="40">
        <v>603</v>
      </c>
    </row>
    <row r="203" spans="1:13" x14ac:dyDescent="0.3">
      <c r="A203" s="1" t="s">
        <v>839</v>
      </c>
      <c r="B203" s="1" t="s">
        <v>840</v>
      </c>
      <c r="C203" s="1" t="s">
        <v>841</v>
      </c>
      <c r="D203" s="1">
        <v>2024</v>
      </c>
      <c r="E203" s="1">
        <v>2022</v>
      </c>
      <c r="F203" s="18">
        <v>0.74602446124324318</v>
      </c>
      <c r="G203" s="18">
        <v>0.11215107067969919</v>
      </c>
      <c r="H203" s="18">
        <v>0.16454229518918917</v>
      </c>
      <c r="I203" s="18">
        <v>2.4735910866528332E-2</v>
      </c>
      <c r="J203" s="39">
        <f t="shared" si="2"/>
        <v>746.02446124324319</v>
      </c>
      <c r="K203" s="127"/>
      <c r="L203" s="32"/>
      <c r="M203" s="40"/>
    </row>
    <row r="204" spans="1:13" x14ac:dyDescent="0.3">
      <c r="A204" s="7" t="s">
        <v>32</v>
      </c>
      <c r="B204" s="1" t="s">
        <v>282</v>
      </c>
      <c r="C204" s="1" t="s">
        <v>842</v>
      </c>
      <c r="D204" s="1">
        <v>2024</v>
      </c>
      <c r="E204" s="1">
        <v>2022</v>
      </c>
      <c r="F204" s="18">
        <v>0.18110945012672477</v>
      </c>
      <c r="G204" s="18">
        <v>1.9352673704215194E-2</v>
      </c>
      <c r="H204" s="18">
        <v>3.4295153123956389E-2</v>
      </c>
      <c r="I204" s="18">
        <v>3.6646508924830941E-3</v>
      </c>
      <c r="J204" s="39">
        <f t="shared" si="2"/>
        <v>181.10945012672477</v>
      </c>
      <c r="K204" s="127">
        <v>174</v>
      </c>
      <c r="L204" s="32">
        <v>125</v>
      </c>
      <c r="M204" s="40">
        <v>293</v>
      </c>
    </row>
    <row r="205" spans="1:13" x14ac:dyDescent="0.3">
      <c r="A205" s="1" t="s">
        <v>843</v>
      </c>
      <c r="B205" s="1" t="s">
        <v>844</v>
      </c>
      <c r="C205" s="1" t="s">
        <v>845</v>
      </c>
      <c r="D205" s="1">
        <v>2024</v>
      </c>
      <c r="E205" s="1">
        <v>2022</v>
      </c>
      <c r="F205" s="18">
        <v>0.57117052349171971</v>
      </c>
      <c r="G205" s="18">
        <v>8.3882422240018517E-2</v>
      </c>
      <c r="H205" s="18">
        <v>0.1101005483250297</v>
      </c>
      <c r="I205" s="18">
        <v>1.6169428049260307E-2</v>
      </c>
      <c r="J205" s="39">
        <f t="shared" si="2"/>
        <v>571.17052349171968</v>
      </c>
      <c r="K205" s="127"/>
      <c r="L205" s="32"/>
      <c r="M205" s="40"/>
    </row>
    <row r="206" spans="1:13" x14ac:dyDescent="0.3">
      <c r="A206" s="1" t="s">
        <v>846</v>
      </c>
      <c r="B206" s="1" t="s">
        <v>847</v>
      </c>
      <c r="C206" s="1" t="s">
        <v>848</v>
      </c>
      <c r="D206" s="1">
        <v>2024</v>
      </c>
      <c r="E206" s="1">
        <v>2022</v>
      </c>
      <c r="F206" s="18">
        <v>0.28982320680453744</v>
      </c>
      <c r="G206" s="18">
        <v>4.3569594081117866E-2</v>
      </c>
      <c r="H206" s="18">
        <v>6.4537975577522777E-2</v>
      </c>
      <c r="I206" s="18">
        <v>9.7020988406430926E-3</v>
      </c>
      <c r="J206" s="39">
        <f t="shared" si="2"/>
        <v>289.82320680453745</v>
      </c>
      <c r="K206" s="127"/>
      <c r="L206" s="32"/>
      <c r="M206" s="40"/>
    </row>
    <row r="207" spans="1:13" x14ac:dyDescent="0.3">
      <c r="A207" s="1" t="s">
        <v>849</v>
      </c>
      <c r="B207" s="1" t="s">
        <v>850</v>
      </c>
      <c r="C207" s="1" t="s">
        <v>851</v>
      </c>
      <c r="D207" s="1">
        <v>2024</v>
      </c>
      <c r="E207" s="1">
        <v>2022</v>
      </c>
      <c r="F207" s="18">
        <v>0.3960233399868226</v>
      </c>
      <c r="G207" s="18">
        <v>7.5154575865483214E-2</v>
      </c>
      <c r="H207" s="18">
        <v>8.7546340271468265E-2</v>
      </c>
      <c r="I207" s="18">
        <v>1.6613940157911903E-2</v>
      </c>
      <c r="J207" s="39">
        <f t="shared" si="2"/>
        <v>396.02333998682258</v>
      </c>
      <c r="K207" s="127"/>
      <c r="L207" s="32"/>
      <c r="M207" s="40"/>
    </row>
    <row r="208" spans="1:13" x14ac:dyDescent="0.3">
      <c r="A208" s="7" t="s">
        <v>27</v>
      </c>
      <c r="B208" s="1" t="s">
        <v>276</v>
      </c>
      <c r="C208" s="1" t="s">
        <v>852</v>
      </c>
      <c r="D208" s="1">
        <v>2024</v>
      </c>
      <c r="E208" s="1">
        <v>2022</v>
      </c>
      <c r="F208" s="18">
        <v>1.5183018677253546E-2</v>
      </c>
      <c r="G208" s="18">
        <v>1.3066597891939415E-3</v>
      </c>
      <c r="H208" s="18">
        <v>1.0875830311633543E-2</v>
      </c>
      <c r="I208" s="18">
        <v>9.3598054803149279E-4</v>
      </c>
      <c r="J208" s="39">
        <f t="shared" si="2"/>
        <v>15.183018677253546</v>
      </c>
      <c r="K208" s="127">
        <v>41</v>
      </c>
      <c r="L208" s="32">
        <f>(15+13+21+34)/4</f>
        <v>20.75</v>
      </c>
      <c r="M208" s="40">
        <v>42</v>
      </c>
    </row>
    <row r="209" spans="1:13" x14ac:dyDescent="0.3">
      <c r="A209" s="7" t="s">
        <v>29</v>
      </c>
      <c r="B209" s="1" t="s">
        <v>273</v>
      </c>
      <c r="C209" s="1" t="s">
        <v>853</v>
      </c>
      <c r="D209" s="1">
        <v>2024</v>
      </c>
      <c r="E209" s="1">
        <v>2022</v>
      </c>
      <c r="F209" s="18">
        <v>2.3685135056150792E-2</v>
      </c>
      <c r="G209" s="18">
        <v>1.8491092427207535E-3</v>
      </c>
      <c r="H209" s="18">
        <v>6.5041380807003965E-3</v>
      </c>
      <c r="I209" s="18">
        <v>5.0778101169542914E-4</v>
      </c>
      <c r="J209" s="39">
        <f t="shared" si="2"/>
        <v>23.685135056150791</v>
      </c>
      <c r="K209" s="127">
        <v>35</v>
      </c>
      <c r="L209" s="32">
        <v>71</v>
      </c>
      <c r="M209" s="40">
        <v>116</v>
      </c>
    </row>
    <row r="210" spans="1:13" x14ac:dyDescent="0.3">
      <c r="A210" s="1" t="s">
        <v>854</v>
      </c>
      <c r="B210" s="1" t="s">
        <v>855</v>
      </c>
      <c r="C210" s="1" t="s">
        <v>856</v>
      </c>
      <c r="D210" s="1">
        <v>2024</v>
      </c>
      <c r="E210" s="1">
        <v>2022</v>
      </c>
      <c r="F210" s="18">
        <v>0.59516572896850162</v>
      </c>
      <c r="G210" s="18">
        <v>9.4406824645851345E-2</v>
      </c>
      <c r="H210" s="18">
        <v>0.11579500135405459</v>
      </c>
      <c r="I210" s="18">
        <v>1.8367721553195993E-2</v>
      </c>
      <c r="J210" s="39">
        <f t="shared" si="2"/>
        <v>595.16572896850164</v>
      </c>
      <c r="K210" s="127"/>
      <c r="L210" s="32"/>
      <c r="M210" s="40"/>
    </row>
    <row r="211" spans="1:13" x14ac:dyDescent="0.3">
      <c r="A211" s="7" t="s">
        <v>68</v>
      </c>
      <c r="B211" s="1" t="s">
        <v>857</v>
      </c>
      <c r="C211" s="1" t="s">
        <v>858</v>
      </c>
      <c r="D211" s="1">
        <v>2024</v>
      </c>
      <c r="E211" s="1">
        <v>2022</v>
      </c>
      <c r="F211" s="18">
        <v>0.63602413915225831</v>
      </c>
      <c r="G211" s="18">
        <v>2.6734026077708643E-2</v>
      </c>
      <c r="H211" s="18">
        <v>0.11136071087675177</v>
      </c>
      <c r="I211" s="18">
        <v>4.6808288637902769E-3</v>
      </c>
      <c r="J211" s="39">
        <f t="shared" si="2"/>
        <v>636.02413915225827</v>
      </c>
      <c r="K211" s="127">
        <v>642</v>
      </c>
      <c r="L211" s="32">
        <v>490</v>
      </c>
      <c r="M211" s="40">
        <v>708</v>
      </c>
    </row>
    <row r="212" spans="1:13" x14ac:dyDescent="0.3">
      <c r="A212" s="1" t="s">
        <v>859</v>
      </c>
      <c r="B212" s="1" t="s">
        <v>860</v>
      </c>
      <c r="C212" s="1" t="s">
        <v>861</v>
      </c>
      <c r="D212" s="1">
        <v>2024</v>
      </c>
      <c r="E212" s="1">
        <v>2022</v>
      </c>
      <c r="F212" s="18">
        <v>9.6910833822705877E-2</v>
      </c>
      <c r="G212" s="18">
        <v>1.4232379207268967E-2</v>
      </c>
      <c r="H212" s="18">
        <v>1.7096409943532353E-2</v>
      </c>
      <c r="I212" s="18">
        <v>2.510788317479801E-3</v>
      </c>
      <c r="J212" s="39">
        <f t="shared" si="2"/>
        <v>96.910833822705882</v>
      </c>
      <c r="K212" s="127"/>
      <c r="L212" s="32"/>
      <c r="M212" s="40"/>
    </row>
    <row r="213" spans="1:13" x14ac:dyDescent="0.3">
      <c r="A213" s="1" t="s">
        <v>862</v>
      </c>
      <c r="B213" s="1" t="s">
        <v>863</v>
      </c>
      <c r="C213" s="1" t="s">
        <v>864</v>
      </c>
      <c r="D213" s="1">
        <v>2024</v>
      </c>
      <c r="E213" s="1">
        <v>2022</v>
      </c>
      <c r="F213" s="18">
        <v>0.34527068558399343</v>
      </c>
      <c r="G213" s="18">
        <v>5.1905103752265681E-2</v>
      </c>
      <c r="H213" s="18">
        <v>5.7423392322898073E-2</v>
      </c>
      <c r="I213" s="18">
        <v>8.6325519679891945E-3</v>
      </c>
      <c r="J213" s="39">
        <f t="shared" si="2"/>
        <v>345.27068558399344</v>
      </c>
      <c r="K213" s="127"/>
      <c r="L213" s="32"/>
      <c r="M213" s="40"/>
    </row>
    <row r="214" spans="1:13" x14ac:dyDescent="0.3">
      <c r="A214" s="7" t="s">
        <v>50</v>
      </c>
      <c r="B214" s="1" t="s">
        <v>865</v>
      </c>
      <c r="C214" s="1" t="s">
        <v>866</v>
      </c>
      <c r="D214" s="1">
        <v>2024</v>
      </c>
      <c r="E214" s="1">
        <v>2022</v>
      </c>
      <c r="F214" s="18">
        <v>0.52793454759139313</v>
      </c>
      <c r="G214" s="18">
        <v>3.1017110126721332E-2</v>
      </c>
      <c r="H214" s="18">
        <v>9.7183605425104208E-2</v>
      </c>
      <c r="I214" s="18">
        <v>5.7097127015739799E-3</v>
      </c>
      <c r="J214" s="39">
        <f t="shared" si="2"/>
        <v>527.93454759139308</v>
      </c>
      <c r="K214" s="127">
        <v>550</v>
      </c>
      <c r="L214" s="32" t="s">
        <v>368</v>
      </c>
      <c r="M214" s="40">
        <v>588</v>
      </c>
    </row>
    <row r="215" spans="1:13" x14ac:dyDescent="0.3">
      <c r="A215" s="1" t="s">
        <v>867</v>
      </c>
      <c r="B215" s="1" t="s">
        <v>868</v>
      </c>
      <c r="C215" s="1" t="s">
        <v>869</v>
      </c>
      <c r="D215" s="1">
        <v>2024</v>
      </c>
      <c r="E215" s="1">
        <v>2022</v>
      </c>
      <c r="F215" s="18">
        <v>0.40392319579635133</v>
      </c>
      <c r="G215" s="18">
        <v>6.0722431011757741E-2</v>
      </c>
      <c r="H215" s="18">
        <v>6.9625157514662167E-2</v>
      </c>
      <c r="I215" s="18">
        <v>1.046686317563798E-2</v>
      </c>
      <c r="J215" s="39">
        <f t="shared" si="2"/>
        <v>403.92319579635131</v>
      </c>
      <c r="K215" s="127"/>
      <c r="L215" s="32"/>
      <c r="M215" s="40"/>
    </row>
    <row r="216" spans="1:13" x14ac:dyDescent="0.3">
      <c r="A216" s="1" t="s">
        <v>870</v>
      </c>
      <c r="B216" s="1" t="s">
        <v>871</v>
      </c>
      <c r="C216" s="1" t="s">
        <v>872</v>
      </c>
      <c r="D216" s="1">
        <v>2024</v>
      </c>
      <c r="E216" s="1">
        <v>2022</v>
      </c>
      <c r="F216" s="18">
        <v>0.67453040540540543</v>
      </c>
      <c r="G216" s="18">
        <v>4.6288675535623533E-2</v>
      </c>
      <c r="H216" s="18">
        <v>0.14877364864864864</v>
      </c>
      <c r="I216" s="18">
        <v>1.0209376916685048E-2</v>
      </c>
      <c r="J216" s="39">
        <f t="shared" ref="J216:J235" si="3">$F216*1000</f>
        <v>674.53040540540542</v>
      </c>
      <c r="K216" s="127"/>
      <c r="L216" s="32"/>
      <c r="M216" s="40"/>
    </row>
    <row r="217" spans="1:13" x14ac:dyDescent="0.3">
      <c r="A217" s="7" t="s">
        <v>873</v>
      </c>
      <c r="B217" s="1" t="s">
        <v>874</v>
      </c>
      <c r="C217" s="1" t="s">
        <v>875</v>
      </c>
      <c r="D217" s="1">
        <v>2024</v>
      </c>
      <c r="E217" s="1">
        <v>2022</v>
      </c>
      <c r="F217" s="18">
        <v>0.51156111486462708</v>
      </c>
      <c r="G217" s="18">
        <v>9.7080537268848993E-2</v>
      </c>
      <c r="H217" s="18">
        <v>8.3952848763693258E-2</v>
      </c>
      <c r="I217" s="18">
        <v>1.5931992144059909E-2</v>
      </c>
      <c r="J217" s="39">
        <f t="shared" si="3"/>
        <v>511.56111486462709</v>
      </c>
      <c r="K217" s="127">
        <v>682</v>
      </c>
      <c r="L217" s="32">
        <v>491</v>
      </c>
      <c r="M217" s="40" t="s">
        <v>368</v>
      </c>
    </row>
    <row r="218" spans="1:13" x14ac:dyDescent="0.3">
      <c r="A218" s="1" t="s">
        <v>876</v>
      </c>
      <c r="B218" s="1" t="s">
        <v>877</v>
      </c>
      <c r="C218" s="1" t="s">
        <v>878</v>
      </c>
      <c r="D218" s="1">
        <v>2024</v>
      </c>
      <c r="E218" s="1">
        <v>2022</v>
      </c>
      <c r="F218" s="18">
        <v>0.4957003042221324</v>
      </c>
      <c r="G218" s="18">
        <v>7.4519432998375129E-2</v>
      </c>
      <c r="H218" s="18">
        <v>8.1231686814291881E-2</v>
      </c>
      <c r="I218" s="18">
        <v>1.2211691603461279E-2</v>
      </c>
      <c r="J218" s="39">
        <f t="shared" si="3"/>
        <v>495.70030422213239</v>
      </c>
      <c r="K218" s="127"/>
      <c r="L218" s="32"/>
      <c r="M218" s="40"/>
    </row>
    <row r="219" spans="1:13" x14ac:dyDescent="0.3">
      <c r="A219" s="7" t="s">
        <v>879</v>
      </c>
      <c r="B219" s="1" t="s">
        <v>880</v>
      </c>
      <c r="C219" s="1" t="s">
        <v>881</v>
      </c>
      <c r="D219" s="1">
        <v>2024</v>
      </c>
      <c r="E219" s="1">
        <v>2022</v>
      </c>
      <c r="F219" s="18">
        <v>0.42384952401226783</v>
      </c>
      <c r="G219" s="18">
        <v>7.8348689009007155E-2</v>
      </c>
      <c r="H219" s="18">
        <v>7.6595906034474553E-2</v>
      </c>
      <c r="I219" s="18">
        <v>1.4158772114332925E-2</v>
      </c>
      <c r="J219" s="39">
        <f t="shared" si="3"/>
        <v>423.84952401226781</v>
      </c>
      <c r="K219" s="127">
        <v>465</v>
      </c>
      <c r="L219" s="32">
        <v>466</v>
      </c>
      <c r="M219" s="40">
        <v>557</v>
      </c>
    </row>
    <row r="220" spans="1:13" x14ac:dyDescent="0.3">
      <c r="A220" s="1" t="s">
        <v>882</v>
      </c>
      <c r="B220" s="1" t="s">
        <v>883</v>
      </c>
      <c r="C220" s="1" t="s">
        <v>884</v>
      </c>
      <c r="D220" s="1">
        <v>2024</v>
      </c>
      <c r="E220" s="1">
        <v>2022</v>
      </c>
      <c r="F220" s="18">
        <v>0.51077853259999995</v>
      </c>
      <c r="G220" s="18">
        <v>7.5013220711680151E-2</v>
      </c>
      <c r="H220" s="18">
        <v>8.3638735255000013E-2</v>
      </c>
      <c r="I220" s="18">
        <v>1.2283231395400857E-2</v>
      </c>
      <c r="J220" s="39">
        <f t="shared" si="3"/>
        <v>510.77853259999995</v>
      </c>
      <c r="K220" s="127"/>
      <c r="L220" s="32"/>
      <c r="M220" s="40"/>
    </row>
    <row r="221" spans="1:13" x14ac:dyDescent="0.3">
      <c r="A221" s="1" t="s">
        <v>885</v>
      </c>
      <c r="B221" s="1" t="s">
        <v>886</v>
      </c>
      <c r="C221" s="1" t="s">
        <v>887</v>
      </c>
      <c r="D221" s="1">
        <v>2024</v>
      </c>
      <c r="E221" s="1">
        <v>2022</v>
      </c>
      <c r="F221" s="18">
        <v>0.77089189189189189</v>
      </c>
      <c r="G221" s="18">
        <v>0.14629454207219922</v>
      </c>
      <c r="H221" s="18">
        <v>0.17002702702702702</v>
      </c>
      <c r="I221" s="18">
        <v>3.2266555557837716E-2</v>
      </c>
      <c r="J221" s="39">
        <f t="shared" si="3"/>
        <v>770.89189189189187</v>
      </c>
      <c r="K221" s="127"/>
      <c r="L221" s="32"/>
      <c r="M221" s="40"/>
    </row>
    <row r="222" spans="1:13" x14ac:dyDescent="0.3">
      <c r="A222" s="1" t="s">
        <v>888</v>
      </c>
      <c r="B222" s="1" t="s">
        <v>889</v>
      </c>
      <c r="C222" s="1" t="s">
        <v>890</v>
      </c>
      <c r="D222" s="1">
        <v>2024</v>
      </c>
      <c r="E222" s="1">
        <v>2022</v>
      </c>
      <c r="F222" s="18">
        <v>1.0921563432127412E-2</v>
      </c>
      <c r="G222" s="18">
        <v>1.641856394853478E-3</v>
      </c>
      <c r="H222" s="18">
        <v>9.632742326861005E-3</v>
      </c>
      <c r="I222" s="18">
        <v>1.4481058218101467E-3</v>
      </c>
      <c r="J222" s="39">
        <f t="shared" si="3"/>
        <v>10.921563432127412</v>
      </c>
      <c r="K222" s="127"/>
      <c r="L222" s="32"/>
      <c r="M222" s="40"/>
    </row>
    <row r="223" spans="1:13" x14ac:dyDescent="0.3">
      <c r="A223" s="7" t="s">
        <v>76</v>
      </c>
      <c r="B223" s="1" t="s">
        <v>891</v>
      </c>
      <c r="C223" s="1" t="s">
        <v>892</v>
      </c>
      <c r="D223" s="1">
        <v>2024</v>
      </c>
      <c r="E223" s="1">
        <v>2022</v>
      </c>
      <c r="F223" s="18">
        <v>0.25208523751556644</v>
      </c>
      <c r="G223" s="18">
        <v>3.9228895998584312E-2</v>
      </c>
      <c r="H223" s="18">
        <v>4.4902446062049177E-2</v>
      </c>
      <c r="I223" s="18">
        <v>6.9876102385463832E-3</v>
      </c>
      <c r="J223" s="39">
        <f t="shared" si="3"/>
        <v>252.08523751556643</v>
      </c>
      <c r="K223" s="127">
        <v>260</v>
      </c>
      <c r="L223" s="32" t="s">
        <v>368</v>
      </c>
      <c r="M223" s="40" t="s">
        <v>368</v>
      </c>
    </row>
    <row r="224" spans="1:13" x14ac:dyDescent="0.3">
      <c r="A224" s="7" t="s">
        <v>46</v>
      </c>
      <c r="B224" s="1" t="s">
        <v>893</v>
      </c>
      <c r="C224" s="1" t="s">
        <v>894</v>
      </c>
      <c r="D224" s="1">
        <v>2024</v>
      </c>
      <c r="E224" s="1">
        <v>2022</v>
      </c>
      <c r="F224" s="18">
        <v>0.42160843488194177</v>
      </c>
      <c r="G224" s="18">
        <v>6.6876689372041817E-2</v>
      </c>
      <c r="H224" s="18">
        <v>6.9043920602794864E-2</v>
      </c>
      <c r="I224" s="18">
        <v>1.095193655808617E-2</v>
      </c>
      <c r="J224" s="39">
        <f t="shared" si="3"/>
        <v>421.60843488194178</v>
      </c>
      <c r="K224" s="127">
        <v>561</v>
      </c>
      <c r="L224" s="32">
        <v>342</v>
      </c>
      <c r="M224" s="40" t="s">
        <v>368</v>
      </c>
    </row>
    <row r="225" spans="1:13" x14ac:dyDescent="0.3">
      <c r="A225" s="7" t="s">
        <v>20</v>
      </c>
      <c r="B225" s="1" t="s">
        <v>275</v>
      </c>
      <c r="C225" s="1" t="s">
        <v>895</v>
      </c>
      <c r="D225" s="1">
        <v>2024</v>
      </c>
      <c r="E225" s="1">
        <v>2022</v>
      </c>
      <c r="F225" s="18">
        <v>0.20740812573579739</v>
      </c>
      <c r="G225" s="18">
        <v>1.8331652703873047E-2</v>
      </c>
      <c r="H225" s="18">
        <v>4.737368543647081E-2</v>
      </c>
      <c r="I225" s="18">
        <v>4.1870970370281113E-3</v>
      </c>
      <c r="J225" s="39">
        <f t="shared" si="3"/>
        <v>207.4081257357974</v>
      </c>
      <c r="K225" s="127">
        <v>238</v>
      </c>
      <c r="L225" s="32">
        <v>220</v>
      </c>
      <c r="M225" s="40" t="s">
        <v>368</v>
      </c>
    </row>
    <row r="226" spans="1:13" x14ac:dyDescent="0.3">
      <c r="A226" s="7" t="s">
        <v>896</v>
      </c>
      <c r="B226" s="1" t="s">
        <v>16</v>
      </c>
      <c r="C226" s="1" t="s">
        <v>897</v>
      </c>
      <c r="D226" s="1">
        <v>2024</v>
      </c>
      <c r="E226" s="1">
        <v>2022</v>
      </c>
      <c r="F226" s="18">
        <v>0.37458926291714711</v>
      </c>
      <c r="G226" s="18">
        <v>2.70167198352321E-2</v>
      </c>
      <c r="H226" s="18">
        <v>6.5469354655741538E-2</v>
      </c>
      <c r="I226" s="18">
        <v>4.7218844415165186E-3</v>
      </c>
      <c r="J226" s="39">
        <f t="shared" si="3"/>
        <v>374.5892629171471</v>
      </c>
      <c r="K226" s="127">
        <v>369</v>
      </c>
      <c r="L226" s="33"/>
      <c r="M226" s="40">
        <v>440</v>
      </c>
    </row>
    <row r="227" spans="1:13" x14ac:dyDescent="0.3">
      <c r="A227" s="1" t="s">
        <v>898</v>
      </c>
      <c r="B227" s="1" t="s">
        <v>899</v>
      </c>
      <c r="C227" s="1" t="s">
        <v>900</v>
      </c>
      <c r="D227" s="1">
        <v>2024</v>
      </c>
      <c r="E227" s="1">
        <v>2022</v>
      </c>
      <c r="F227" s="18">
        <v>0.74821857374594591</v>
      </c>
      <c r="G227" s="18">
        <v>0.14199175625968011</v>
      </c>
      <c r="H227" s="18">
        <v>0.16502622611351347</v>
      </c>
      <c r="I227" s="18">
        <v>3.1317538079081698E-2</v>
      </c>
      <c r="J227" s="39">
        <f t="shared" si="3"/>
        <v>748.21857374594595</v>
      </c>
      <c r="K227" s="127"/>
      <c r="L227" s="32"/>
      <c r="M227" s="40"/>
    </row>
    <row r="228" spans="1:13" x14ac:dyDescent="0.3">
      <c r="A228" s="7" t="s">
        <v>901</v>
      </c>
      <c r="B228" s="1" t="s">
        <v>902</v>
      </c>
      <c r="C228" s="1" t="s">
        <v>903</v>
      </c>
      <c r="D228" s="1">
        <v>2024</v>
      </c>
      <c r="E228" s="1">
        <v>2022</v>
      </c>
      <c r="F228" s="18">
        <v>7.5624217150710424E-2</v>
      </c>
      <c r="G228" s="18">
        <v>1.4351441925897494E-2</v>
      </c>
      <c r="H228" s="18">
        <v>3.5358095878679538E-2</v>
      </c>
      <c r="I228" s="18">
        <v>6.7100153724820137E-3</v>
      </c>
      <c r="J228" s="39">
        <f t="shared" si="3"/>
        <v>75.624217150710422</v>
      </c>
      <c r="K228" s="127">
        <v>129</v>
      </c>
      <c r="L228" s="32">
        <v>97</v>
      </c>
      <c r="M228" s="40" t="s">
        <v>368</v>
      </c>
    </row>
    <row r="229" spans="1:13" x14ac:dyDescent="0.3">
      <c r="A229" s="1" t="s">
        <v>904</v>
      </c>
      <c r="B229" s="1" t="s">
        <v>905</v>
      </c>
      <c r="C229" s="1" t="s">
        <v>906</v>
      </c>
      <c r="D229" s="1">
        <v>2024</v>
      </c>
      <c r="E229" s="1">
        <v>2022</v>
      </c>
      <c r="F229" s="18">
        <v>0.49607454245505411</v>
      </c>
      <c r="G229" s="18">
        <v>7.2853784502662791E-2</v>
      </c>
      <c r="H229" s="18">
        <v>8.2500687922986482E-2</v>
      </c>
      <c r="I229" s="18">
        <v>1.2116097128300553E-2</v>
      </c>
      <c r="J229" s="39">
        <f t="shared" si="3"/>
        <v>496.07454245505409</v>
      </c>
      <c r="K229" s="127"/>
      <c r="L229" s="32"/>
      <c r="M229" s="40"/>
    </row>
    <row r="230" spans="1:13" x14ac:dyDescent="0.3">
      <c r="A230" s="1" t="s">
        <v>907</v>
      </c>
      <c r="B230" s="1" t="s">
        <v>908</v>
      </c>
      <c r="C230" s="1" t="s">
        <v>909</v>
      </c>
      <c r="D230" s="1">
        <v>2024</v>
      </c>
      <c r="E230" s="1">
        <v>2022</v>
      </c>
      <c r="F230" s="18">
        <v>0.66076451180270268</v>
      </c>
      <c r="G230" s="18">
        <v>4.5344010955158179E-2</v>
      </c>
      <c r="H230" s="18">
        <v>0.14573745902432431</v>
      </c>
      <c r="I230" s="18">
        <v>1.0001022785783405E-2</v>
      </c>
      <c r="J230" s="39">
        <f t="shared" si="3"/>
        <v>660.76451180270271</v>
      </c>
      <c r="K230" s="127"/>
      <c r="L230" s="32"/>
      <c r="M230" s="40"/>
    </row>
    <row r="231" spans="1:13" x14ac:dyDescent="0.3">
      <c r="A231" s="1" t="s">
        <v>910</v>
      </c>
      <c r="B231" s="1" t="s">
        <v>911</v>
      </c>
      <c r="C231" s="1" t="s">
        <v>912</v>
      </c>
      <c r="D231" s="1">
        <v>2024</v>
      </c>
      <c r="E231" s="1">
        <v>2022</v>
      </c>
      <c r="F231" s="18">
        <v>0.13124109515027027</v>
      </c>
      <c r="G231" s="18">
        <v>2.4906029130677715E-2</v>
      </c>
      <c r="H231" s="18">
        <v>2.4402857028932433E-2</v>
      </c>
      <c r="I231" s="18">
        <v>4.6310057633887625E-3</v>
      </c>
      <c r="J231" s="39">
        <f t="shared" si="3"/>
        <v>131.24109515027027</v>
      </c>
      <c r="K231" s="127"/>
      <c r="L231" s="32"/>
      <c r="M231" s="40"/>
    </row>
    <row r="232" spans="1:13" x14ac:dyDescent="0.3">
      <c r="A232" s="7" t="s">
        <v>56</v>
      </c>
      <c r="B232" s="1" t="s">
        <v>913</v>
      </c>
      <c r="C232" s="1" t="s">
        <v>914</v>
      </c>
      <c r="D232" s="1">
        <v>2024</v>
      </c>
      <c r="E232" s="1">
        <v>2022</v>
      </c>
      <c r="F232" s="18">
        <v>0.4371429083221543</v>
      </c>
      <c r="G232" s="18">
        <v>4.5731443132796867E-2</v>
      </c>
      <c r="H232" s="18">
        <v>7.7096623135993442E-2</v>
      </c>
      <c r="I232" s="18">
        <v>8.0654169827594387E-3</v>
      </c>
      <c r="J232" s="39">
        <f t="shared" si="3"/>
        <v>437.14290832215431</v>
      </c>
      <c r="K232" s="127">
        <v>475</v>
      </c>
      <c r="L232" s="32" t="s">
        <v>368</v>
      </c>
      <c r="M232" s="40" t="s">
        <v>368</v>
      </c>
    </row>
    <row r="233" spans="1:13" x14ac:dyDescent="0.3">
      <c r="A233" s="1" t="s">
        <v>915</v>
      </c>
      <c r="B233" s="1" t="s">
        <v>916</v>
      </c>
      <c r="C233" s="1" t="s">
        <v>917</v>
      </c>
      <c r="D233" s="1">
        <v>2024</v>
      </c>
      <c r="E233" s="1">
        <v>2022</v>
      </c>
      <c r="F233" s="18">
        <v>0.56652687902486487</v>
      </c>
      <c r="G233" s="18">
        <v>8.9864051510419596E-2</v>
      </c>
      <c r="H233" s="18">
        <v>0.11963844439428378</v>
      </c>
      <c r="I233" s="18">
        <v>1.8977379057777272E-2</v>
      </c>
      <c r="J233" s="39">
        <f t="shared" si="3"/>
        <v>566.52687902486491</v>
      </c>
      <c r="K233" s="127"/>
      <c r="L233" s="32"/>
      <c r="M233" s="40"/>
    </row>
    <row r="234" spans="1:13" x14ac:dyDescent="0.3">
      <c r="A234" s="1" t="s">
        <v>918</v>
      </c>
      <c r="B234" s="1" t="s">
        <v>919</v>
      </c>
      <c r="C234" s="1" t="s">
        <v>920</v>
      </c>
      <c r="D234" s="1">
        <v>2024</v>
      </c>
      <c r="E234" s="1">
        <v>2022</v>
      </c>
      <c r="F234" s="18">
        <v>0.10901063576027227</v>
      </c>
      <c r="G234" s="18">
        <v>1.6387746181425855E-2</v>
      </c>
      <c r="H234" s="18">
        <v>1.9772445881183192E-2</v>
      </c>
      <c r="I234" s="18">
        <v>2.972423949525271E-3</v>
      </c>
      <c r="J234" s="39">
        <f t="shared" si="3"/>
        <v>109.01063576027227</v>
      </c>
      <c r="K234" s="127"/>
      <c r="L234" s="32"/>
      <c r="M234" s="40"/>
    </row>
    <row r="235" spans="1:13" x14ac:dyDescent="0.3">
      <c r="A235" s="1" t="s">
        <v>921</v>
      </c>
      <c r="B235" s="1" t="s">
        <v>922</v>
      </c>
      <c r="C235" s="1" t="s">
        <v>923</v>
      </c>
      <c r="D235" s="1">
        <v>2024</v>
      </c>
      <c r="E235" s="1">
        <v>2022</v>
      </c>
      <c r="F235" s="18">
        <v>0.32127175773571764</v>
      </c>
      <c r="G235" s="18">
        <v>4.8297305894185252E-2</v>
      </c>
      <c r="H235" s="18">
        <v>5.8180303674847063E-2</v>
      </c>
      <c r="I235" s="18">
        <v>8.7463396826563955E-3</v>
      </c>
      <c r="J235" s="39">
        <f t="shared" si="3"/>
        <v>321.27175773571764</v>
      </c>
      <c r="K235" s="127"/>
      <c r="L235" s="32"/>
      <c r="M235" s="40"/>
    </row>
    <row r="236" spans="1:13" x14ac:dyDescent="0.3">
      <c r="A236" s="48" t="s">
        <v>924</v>
      </c>
      <c r="K236" s="11">
        <v>481</v>
      </c>
    </row>
  </sheetData>
  <mergeCells count="4">
    <mergeCell ref="A20:I20"/>
    <mergeCell ref="M20:M21"/>
    <mergeCell ref="K20:K21"/>
    <mergeCell ref="L20:L21"/>
  </mergeCells>
  <hyperlinks>
    <hyperlink ref="A10" r:id="rId1" xr:uid="{FBF07657-1454-4977-BAB7-D258423389E7}"/>
    <hyperlink ref="K20:K21" r:id="rId2" display="https://ourworldindata.org/grapher/carbon-intensity-electricity" xr:uid="{C6DAB1B2-24F9-4001-9E7E-DA6FEC5DB82A}"/>
    <hyperlink ref="L20:L21" r:id="rId3" display="https://app.electricitymaps.com/map/72h/hourly" xr:uid="{BAFEAA6B-7EC9-4078-A96C-EA261E8A5F26}"/>
  </hyperlink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4BE8011EBAA4D4F87BCF97624598487" ma:contentTypeVersion="14" ma:contentTypeDescription="Ein neues Dokument erstellen." ma:contentTypeScope="" ma:versionID="8e9165f1da773c5e43d3bd61c3a06d8b">
  <xsd:schema xmlns:xsd="http://www.w3.org/2001/XMLSchema" xmlns:xs="http://www.w3.org/2001/XMLSchema" xmlns:p="http://schemas.microsoft.com/office/2006/metadata/properties" xmlns:ns2="a4dc2edf-6333-4320-8319-c3af78a68950" xmlns:ns3="1f0fae8c-8c0d-44d0-8af1-7f9fb29d5213" targetNamespace="http://schemas.microsoft.com/office/2006/metadata/properties" ma:root="true" ma:fieldsID="c18943c0cf3a993a5c473a8f287e922e" ns2:_="" ns3:_="">
    <xsd:import namespace="a4dc2edf-6333-4320-8319-c3af78a68950"/>
    <xsd:import namespace="1f0fae8c-8c0d-44d0-8af1-7f9fb29d52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c2edf-6333-4320-8319-c3af78a689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13f4a037-da16-4e63-bff7-eb1ebaa7d8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0fae8c-8c0d-44d0-8af1-7f9fb29d521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ad571b2-85b3-4639-905e-aec8c82a1649}" ma:internalName="TaxCatchAll" ma:showField="CatchAllData" ma:web="1f0fae8c-8c0d-44d0-8af1-7f9fb29d52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dc2edf-6333-4320-8319-c3af78a68950">
      <Terms xmlns="http://schemas.microsoft.com/office/infopath/2007/PartnerControls"/>
    </lcf76f155ced4ddcb4097134ff3c332f>
    <TaxCatchAll xmlns="1f0fae8c-8c0d-44d0-8af1-7f9fb29d52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CE28A7-95A7-4447-AA51-0FE38EC4D6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dc2edf-6333-4320-8319-c3af78a68950"/>
    <ds:schemaRef ds:uri="1f0fae8c-8c0d-44d0-8af1-7f9fb29d52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473F79-6345-4915-9342-7F242559B018}">
  <ds:schemaRefs>
    <ds:schemaRef ds:uri="http://schemas.microsoft.com/office/2006/metadata/properties"/>
    <ds:schemaRef ds:uri="http://schemas.microsoft.com/office/infopath/2007/PartnerControls"/>
    <ds:schemaRef ds:uri="a4dc2edf-6333-4320-8319-c3af78a68950"/>
    <ds:schemaRef ds:uri="1f0fae8c-8c0d-44d0-8af1-7f9fb29d5213"/>
  </ds:schemaRefs>
</ds:datastoreItem>
</file>

<file path=customXml/itemProps3.xml><?xml version="1.0" encoding="utf-8"?>
<ds:datastoreItem xmlns:ds="http://schemas.openxmlformats.org/officeDocument/2006/customXml" ds:itemID="{5AC5CBF6-CB9C-49E6-8A49-ED67114BED2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Appendix_BC-Networks</vt:lpstr>
      <vt:lpstr>Table1 - Literature</vt:lpstr>
      <vt:lpstr>Table2 - Data sources</vt:lpstr>
      <vt:lpstr>Table4 - Overview of systems</vt:lpstr>
      <vt:lpstr>Table5 - Calculated values</vt:lpstr>
      <vt:lpstr>Table6 - Emissions</vt:lpstr>
      <vt:lpstr>Table7 - Bitcoin</vt:lpstr>
      <vt:lpstr>Table8 - Ethereum</vt:lpstr>
      <vt:lpstr>Table9 - Cardano</vt:lpstr>
      <vt:lpstr>Table10 - Solana</vt:lpstr>
      <vt:lpstr>Table11 - Ripple</vt:lpstr>
      <vt:lpstr>Table12</vt:lpstr>
      <vt:lpstr>Table13</vt:lpstr>
      <vt:lpstr>Table14</vt:lpstr>
      <vt:lpstr>CO2e  kWh per Country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Eugen  Buss</dc:creator>
  <cp:keywords/>
  <dc:description/>
  <cp:lastModifiedBy>Lukas Stopfer</cp:lastModifiedBy>
  <cp:revision/>
  <dcterms:created xsi:type="dcterms:W3CDTF">2024-04-12T05:55:20Z</dcterms:created>
  <dcterms:modified xsi:type="dcterms:W3CDTF">2025-12-23T11:27:29Z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0x010100A4BE8011EBAA4D4F87BCF97624598487</vt:lpwstr>
  </property>
  <property fmtid="{D5CDD505-2E9C-101B-9397-08002B2CF9AE}" pid="3" name="MediaServiceImageTags">
    <vt:lpwstr/>
  </property>
</Properties>
</file>